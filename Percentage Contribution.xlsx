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152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G29" i="1"/>
  <c r="I28" s="1"/>
  <c r="F29"/>
  <c r="H27" s="1"/>
  <c r="C29"/>
  <c r="E27" s="1"/>
  <c r="B29"/>
  <c r="D28" s="1"/>
  <c r="H28"/>
  <c r="E28"/>
  <c r="D27"/>
  <c r="I26"/>
  <c r="E26"/>
  <c r="E25"/>
  <c r="D25"/>
  <c r="E24"/>
  <c r="D24"/>
  <c r="I23"/>
  <c r="E23"/>
  <c r="D23"/>
  <c r="E22"/>
  <c r="D22"/>
  <c r="E21"/>
  <c r="D21"/>
  <c r="E20"/>
  <c r="D20"/>
  <c r="E19"/>
  <c r="D19"/>
  <c r="E18"/>
  <c r="D18"/>
  <c r="E17"/>
  <c r="D17"/>
  <c r="E16"/>
  <c r="D16"/>
  <c r="E15"/>
  <c r="D15"/>
  <c r="E14"/>
  <c r="D14"/>
  <c r="E13"/>
  <c r="D13"/>
  <c r="E12"/>
  <c r="D12"/>
  <c r="E11"/>
  <c r="D11"/>
  <c r="E10"/>
  <c r="D10"/>
  <c r="E9"/>
  <c r="D9"/>
  <c r="I24" l="1"/>
  <c r="I9"/>
  <c r="I10"/>
  <c r="I11"/>
  <c r="I12"/>
  <c r="I13"/>
  <c r="I14"/>
  <c r="I15"/>
  <c r="I16"/>
  <c r="I17"/>
  <c r="I18"/>
  <c r="I19"/>
  <c r="I20"/>
  <c r="I21"/>
  <c r="D26"/>
  <c r="H9"/>
  <c r="H10"/>
  <c r="H11"/>
  <c r="H12"/>
  <c r="H13"/>
  <c r="H14"/>
  <c r="H15"/>
  <c r="H16"/>
  <c r="H17"/>
  <c r="H18"/>
  <c r="H19"/>
  <c r="H20"/>
  <c r="H21"/>
  <c r="I22"/>
  <c r="I25"/>
  <c r="H22"/>
  <c r="H23"/>
  <c r="H24"/>
  <c r="H25"/>
  <c r="H26"/>
  <c r="I27"/>
</calcChain>
</file>

<file path=xl/sharedStrings.xml><?xml version="1.0" encoding="utf-8"?>
<sst xmlns="http://schemas.openxmlformats.org/spreadsheetml/2006/main" count="43" uniqueCount="33">
  <si>
    <t>PAKISTAN RAILWAYS</t>
  </si>
  <si>
    <t>KARACHI DIVISION</t>
  </si>
  <si>
    <t xml:space="preserve">COMMODITY WISE PERCENTAGE CONTRIBUTION IN TOTAL LOADING / EARNING </t>
  </si>
  <si>
    <t xml:space="preserve">COMPARED WITH CORRESPONDING PERIOD </t>
  </si>
  <si>
    <t>(JUL-APR  2025-2026).</t>
  </si>
  <si>
    <t>COMMODITY</t>
  </si>
  <si>
    <t>JUL-APR  (2025-2026)</t>
  </si>
  <si>
    <t>Percentage Contribution</t>
  </si>
  <si>
    <t>JUL-APR  (2024-2025)</t>
  </si>
  <si>
    <t>WAGON</t>
  </si>
  <si>
    <t>FREIGHT</t>
  </si>
  <si>
    <t xml:space="preserve">FURNACE OIL </t>
  </si>
  <si>
    <t>HSD OIL</t>
  </si>
  <si>
    <t>OIL RAILWAY</t>
  </si>
  <si>
    <t>OIL DEFENCE</t>
  </si>
  <si>
    <t>FERTILIZER</t>
  </si>
  <si>
    <t>COAL / YSW</t>
  </si>
  <si>
    <t>COAL / AKDD</t>
  </si>
  <si>
    <t>COAL / Other</t>
  </si>
  <si>
    <t>DRY/PORT</t>
  </si>
  <si>
    <t>GITA CARGO</t>
  </si>
  <si>
    <t>WHEAT</t>
  </si>
  <si>
    <t>CARGO/EXPRESS</t>
  </si>
  <si>
    <t>ROCK PHOSPHATE</t>
  </si>
  <si>
    <t>DOLOMITE</t>
  </si>
  <si>
    <t>LOCAL CONT. (PNX)</t>
  </si>
  <si>
    <t>OIL/SEED</t>
  </si>
  <si>
    <t>PTA</t>
  </si>
  <si>
    <t>SULPHUR</t>
  </si>
  <si>
    <t>MILITARY STORE</t>
  </si>
  <si>
    <t>OTHER</t>
  </si>
  <si>
    <t>TOTAL ACHIEVED</t>
  </si>
  <si>
    <t>-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</si>
</sst>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11">
    <font>
      <sz val="11"/>
      <color theme="1"/>
      <name val="Calibri"/>
      <family val="2"/>
      <scheme val="minor"/>
    </font>
    <font>
      <b/>
      <sz val="18"/>
      <name val="Arial"/>
      <family val="2"/>
    </font>
    <font>
      <sz val="10"/>
      <name val="Arial"/>
      <family val="2"/>
    </font>
    <font>
      <b/>
      <u/>
      <sz val="18"/>
      <name val="Arial"/>
      <family val="2"/>
    </font>
    <font>
      <b/>
      <sz val="14"/>
      <name val="Arial"/>
      <family val="2"/>
    </font>
    <font>
      <b/>
      <u/>
      <sz val="14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12"/>
      <name val="Bookman Old Style"/>
      <family val="1"/>
    </font>
    <font>
      <b/>
      <sz val="12"/>
      <name val="Bookman Old Style"/>
      <family val="1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0" borderId="0" xfId="0" applyFont="1"/>
    <xf numFmtId="0" fontId="5" fillId="0" borderId="0" xfId="0" applyFont="1" applyBorder="1" applyAlignment="1">
      <alignment horizontal="center"/>
    </xf>
    <xf numFmtId="0" fontId="8" fillId="0" borderId="1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left" vertical="center"/>
    </xf>
    <xf numFmtId="0" fontId="9" fillId="0" borderId="6" xfId="0" applyNumberFormat="1" applyFont="1" applyFill="1" applyBorder="1" applyAlignment="1">
      <alignment horizontal="center" vertical="center"/>
    </xf>
    <xf numFmtId="164" fontId="9" fillId="0" borderId="7" xfId="0" applyNumberFormat="1" applyFont="1" applyFill="1" applyBorder="1" applyAlignment="1">
      <alignment horizontal="center" vertical="center"/>
    </xf>
    <xf numFmtId="165" fontId="10" fillId="0" borderId="8" xfId="0" applyNumberFormat="1" applyFont="1" applyFill="1" applyBorder="1" applyAlignment="1">
      <alignment horizontal="center" vertical="center"/>
    </xf>
    <xf numFmtId="165" fontId="10" fillId="0" borderId="9" xfId="0" applyNumberFormat="1" applyFont="1" applyFill="1" applyBorder="1" applyAlignment="1">
      <alignment horizontal="center" vertical="center"/>
    </xf>
    <xf numFmtId="165" fontId="10" fillId="0" borderId="5" xfId="0" quotePrefix="1" applyNumberFormat="1" applyFont="1" applyFill="1" applyBorder="1" applyAlignment="1">
      <alignment horizontal="center" vertical="center"/>
    </xf>
    <xf numFmtId="2" fontId="10" fillId="0" borderId="10" xfId="0" quotePrefix="1" applyNumberFormat="1" applyFont="1" applyFill="1" applyBorder="1" applyAlignment="1">
      <alignment horizontal="center" vertical="center"/>
    </xf>
    <xf numFmtId="0" fontId="6" fillId="0" borderId="11" xfId="0" applyFont="1" applyBorder="1" applyAlignment="1">
      <alignment horizontal="left" vertical="center"/>
    </xf>
    <xf numFmtId="0" fontId="9" fillId="0" borderId="12" xfId="0" applyNumberFormat="1" applyFont="1" applyFill="1" applyBorder="1" applyAlignment="1">
      <alignment horizontal="center" vertical="center"/>
    </xf>
    <xf numFmtId="0" fontId="9" fillId="0" borderId="7" xfId="0" applyNumberFormat="1" applyFont="1" applyFill="1" applyBorder="1" applyAlignment="1">
      <alignment horizontal="center" vertical="center"/>
    </xf>
    <xf numFmtId="165" fontId="10" fillId="0" borderId="11" xfId="0" applyNumberFormat="1" applyFont="1" applyFill="1" applyBorder="1" applyAlignment="1">
      <alignment horizontal="center" vertical="center"/>
    </xf>
    <xf numFmtId="2" fontId="10" fillId="0" borderId="13" xfId="0" applyNumberFormat="1" applyFont="1" applyFill="1" applyBorder="1" applyAlignment="1">
      <alignment horizontal="center" vertical="center"/>
    </xf>
    <xf numFmtId="0" fontId="6" fillId="0" borderId="11" xfId="0" applyFont="1" applyFill="1" applyBorder="1" applyAlignment="1">
      <alignment horizontal="left" vertical="center"/>
    </xf>
    <xf numFmtId="0" fontId="2" fillId="0" borderId="0" xfId="0" applyFont="1" applyFill="1"/>
    <xf numFmtId="165" fontId="10" fillId="0" borderId="14" xfId="0" applyNumberFormat="1" applyFont="1" applyFill="1" applyBorder="1" applyAlignment="1">
      <alignment horizontal="center" vertical="center"/>
    </xf>
    <xf numFmtId="165" fontId="10" fillId="0" borderId="13" xfId="0" applyNumberFormat="1" applyFont="1" applyFill="1" applyBorder="1" applyAlignment="1">
      <alignment horizontal="center" vertical="center"/>
    </xf>
    <xf numFmtId="0" fontId="9" fillId="0" borderId="15" xfId="0" applyNumberFormat="1" applyFont="1" applyFill="1" applyBorder="1" applyAlignment="1">
      <alignment horizontal="center" vertical="center"/>
    </xf>
    <xf numFmtId="165" fontId="10" fillId="0" borderId="16" xfId="0" quotePrefix="1" applyNumberFormat="1" applyFont="1" applyFill="1" applyBorder="1" applyAlignment="1">
      <alignment horizontal="center" vertical="center"/>
    </xf>
    <xf numFmtId="2" fontId="10" fillId="0" borderId="13" xfId="0" quotePrefix="1" applyNumberFormat="1" applyFont="1" applyFill="1" applyBorder="1" applyAlignment="1">
      <alignment horizontal="center" vertical="center"/>
    </xf>
    <xf numFmtId="0" fontId="6" fillId="0" borderId="17" xfId="0" applyFont="1" applyBorder="1" applyAlignment="1">
      <alignment horizontal="left" vertical="center"/>
    </xf>
    <xf numFmtId="165" fontId="10" fillId="0" borderId="18" xfId="0" applyNumberFormat="1" applyFont="1" applyFill="1" applyBorder="1" applyAlignment="1">
      <alignment horizontal="center" vertical="center"/>
    </xf>
    <xf numFmtId="2" fontId="10" fillId="0" borderId="19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10" fillId="0" borderId="1" xfId="0" applyFont="1" applyFill="1" applyBorder="1" applyAlignment="1">
      <alignment horizontal="center" vertical="center"/>
    </xf>
    <xf numFmtId="164" fontId="10" fillId="0" borderId="1" xfId="0" applyNumberFormat="1" applyFont="1" applyFill="1" applyBorder="1" applyAlignment="1">
      <alignment horizontal="center" vertical="center"/>
    </xf>
    <xf numFmtId="165" fontId="10" fillId="0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0"/>
  <sheetViews>
    <sheetView tabSelected="1" topLeftCell="A19" workbookViewId="0">
      <selection activeCell="A25" sqref="A25"/>
    </sheetView>
  </sheetViews>
  <sheetFormatPr defaultRowHeight="12.75"/>
  <cols>
    <col min="1" max="1" width="24.140625" style="1" bestFit="1" customWidth="1"/>
    <col min="2" max="2" width="10.7109375" style="1" bestFit="1" customWidth="1"/>
    <col min="3" max="3" width="14.7109375" style="1" bestFit="1" customWidth="1"/>
    <col min="4" max="5" width="13.5703125" style="1" customWidth="1"/>
    <col min="6" max="6" width="10.7109375" style="1" bestFit="1" customWidth="1"/>
    <col min="7" max="7" width="14.7109375" style="1" bestFit="1" customWidth="1"/>
    <col min="8" max="9" width="13.5703125" style="1" customWidth="1"/>
    <col min="10" max="16384" width="9.140625" style="1"/>
  </cols>
  <sheetData>
    <row r="1" spans="1:9" ht="23.25">
      <c r="A1" s="31" t="s">
        <v>0</v>
      </c>
      <c r="B1" s="31"/>
      <c r="C1" s="31"/>
      <c r="D1" s="31"/>
      <c r="E1" s="31"/>
      <c r="F1" s="31"/>
      <c r="G1" s="31"/>
      <c r="H1" s="31"/>
      <c r="I1" s="31"/>
    </row>
    <row r="2" spans="1:9" ht="23.25">
      <c r="A2" s="32" t="s">
        <v>1</v>
      </c>
      <c r="B2" s="32"/>
      <c r="C2" s="32"/>
      <c r="D2" s="32"/>
      <c r="E2" s="32"/>
      <c r="F2" s="32"/>
      <c r="G2" s="32"/>
      <c r="H2" s="32"/>
      <c r="I2" s="32"/>
    </row>
    <row r="3" spans="1:9" ht="18">
      <c r="A3" s="33" t="s">
        <v>2</v>
      </c>
      <c r="B3" s="33"/>
      <c r="C3" s="33"/>
      <c r="D3" s="33"/>
      <c r="E3" s="33"/>
      <c r="F3" s="33"/>
      <c r="G3" s="33"/>
      <c r="H3" s="33"/>
      <c r="I3" s="33"/>
    </row>
    <row r="4" spans="1:9" ht="18">
      <c r="A4" s="33" t="s">
        <v>3</v>
      </c>
      <c r="B4" s="33"/>
      <c r="C4" s="33"/>
      <c r="D4" s="33"/>
      <c r="E4" s="33"/>
      <c r="F4" s="33"/>
      <c r="G4" s="33"/>
      <c r="H4" s="33"/>
      <c r="I4" s="33"/>
    </row>
    <row r="5" spans="1:9" ht="18">
      <c r="A5" s="34" t="s">
        <v>4</v>
      </c>
      <c r="B5" s="34"/>
      <c r="C5" s="34"/>
      <c r="D5" s="34"/>
      <c r="E5" s="34"/>
      <c r="F5" s="34"/>
      <c r="G5" s="34"/>
      <c r="H5" s="34"/>
      <c r="I5" s="34"/>
    </row>
    <row r="6" spans="1:9" ht="18.75" thickBot="1">
      <c r="A6" s="2"/>
      <c r="B6" s="2"/>
      <c r="C6" s="2"/>
      <c r="D6" s="2"/>
      <c r="E6" s="2"/>
      <c r="F6" s="2"/>
      <c r="G6" s="2"/>
      <c r="H6" s="2"/>
      <c r="I6" s="2"/>
    </row>
    <row r="7" spans="1:9" ht="16.5" thickTop="1" thickBot="1">
      <c r="A7" s="35" t="s">
        <v>5</v>
      </c>
      <c r="B7" s="36" t="s">
        <v>6</v>
      </c>
      <c r="C7" s="36"/>
      <c r="D7" s="37" t="s">
        <v>7</v>
      </c>
      <c r="E7" s="38"/>
      <c r="F7" s="36" t="s">
        <v>8</v>
      </c>
      <c r="G7" s="36"/>
      <c r="H7" s="37" t="s">
        <v>7</v>
      </c>
      <c r="I7" s="39"/>
    </row>
    <row r="8" spans="1:9" ht="16.5" thickTop="1" thickBot="1">
      <c r="A8" s="35"/>
      <c r="B8" s="3" t="s">
        <v>9</v>
      </c>
      <c r="C8" s="3" t="s">
        <v>10</v>
      </c>
      <c r="D8" s="3" t="s">
        <v>9</v>
      </c>
      <c r="E8" s="4" t="s">
        <v>10</v>
      </c>
      <c r="F8" s="3" t="s">
        <v>9</v>
      </c>
      <c r="G8" s="3" t="s">
        <v>10</v>
      </c>
      <c r="H8" s="3" t="s">
        <v>9</v>
      </c>
      <c r="I8" s="3" t="s">
        <v>10</v>
      </c>
    </row>
    <row r="9" spans="1:9" ht="21" customHeight="1" thickTop="1">
      <c r="A9" s="5" t="s">
        <v>11</v>
      </c>
      <c r="B9" s="6">
        <v>0</v>
      </c>
      <c r="C9" s="7">
        <v>0</v>
      </c>
      <c r="D9" s="8">
        <f>B9/B29%</f>
        <v>0</v>
      </c>
      <c r="E9" s="9">
        <f>C9/C29%</f>
        <v>0</v>
      </c>
      <c r="F9" s="6">
        <v>0</v>
      </c>
      <c r="G9" s="7">
        <v>0</v>
      </c>
      <c r="H9" s="10">
        <f>F9/F29%</f>
        <v>0</v>
      </c>
      <c r="I9" s="11">
        <f>G9/G29%</f>
        <v>0</v>
      </c>
    </row>
    <row r="10" spans="1:9" ht="21" customHeight="1">
      <c r="A10" s="12" t="s">
        <v>12</v>
      </c>
      <c r="B10" s="13">
        <v>0</v>
      </c>
      <c r="C10" s="14">
        <v>0</v>
      </c>
      <c r="D10" s="15">
        <f>B10/B29%</f>
        <v>0</v>
      </c>
      <c r="E10" s="16">
        <f>C10/C29%</f>
        <v>0</v>
      </c>
      <c r="F10" s="13">
        <v>0</v>
      </c>
      <c r="G10" s="14">
        <v>0</v>
      </c>
      <c r="H10" s="10">
        <f>F10/F29%</f>
        <v>0</v>
      </c>
      <c r="I10" s="11">
        <f>G10/G29%</f>
        <v>0</v>
      </c>
    </row>
    <row r="11" spans="1:9" ht="21" customHeight="1">
      <c r="A11" s="12" t="s">
        <v>13</v>
      </c>
      <c r="B11" s="13">
        <v>32</v>
      </c>
      <c r="C11" s="7">
        <v>3.903</v>
      </c>
      <c r="D11" s="15">
        <f>B11/B29%</f>
        <v>2.0975903930359998E-2</v>
      </c>
      <c r="E11" s="16">
        <f>C11/C29%</f>
        <v>1.3900790948950333E-2</v>
      </c>
      <c r="F11" s="13">
        <v>122</v>
      </c>
      <c r="G11" s="7">
        <v>12.353</v>
      </c>
      <c r="H11" s="10">
        <f>F11/F29%</f>
        <v>7.7489837398373979E-2</v>
      </c>
      <c r="I11" s="11">
        <f>G11/G29%</f>
        <v>5.295294659378337E-2</v>
      </c>
    </row>
    <row r="12" spans="1:9" ht="21" customHeight="1">
      <c r="A12" s="12" t="s">
        <v>14</v>
      </c>
      <c r="B12" s="13">
        <v>0</v>
      </c>
      <c r="C12" s="14">
        <v>0</v>
      </c>
      <c r="D12" s="15">
        <f>B12/B29%</f>
        <v>0</v>
      </c>
      <c r="E12" s="16">
        <f>C12/C29%</f>
        <v>0</v>
      </c>
      <c r="F12" s="13">
        <v>0</v>
      </c>
      <c r="G12" s="14">
        <v>0</v>
      </c>
      <c r="H12" s="10">
        <f>F12/F29%</f>
        <v>0</v>
      </c>
      <c r="I12" s="11">
        <f>G12/G29%</f>
        <v>0</v>
      </c>
    </row>
    <row r="13" spans="1:9" s="18" customFormat="1" ht="21" customHeight="1">
      <c r="A13" s="17" t="s">
        <v>15</v>
      </c>
      <c r="B13" s="13">
        <v>1436</v>
      </c>
      <c r="C13" s="7">
        <v>154.88800000000001</v>
      </c>
      <c r="D13" s="15">
        <f>B13/B29%</f>
        <v>0.94129368887490494</v>
      </c>
      <c r="E13" s="16">
        <f>C13/C29%</f>
        <v>0.55164378900871613</v>
      </c>
      <c r="F13" s="13">
        <v>3034</v>
      </c>
      <c r="G13" s="7">
        <v>287.82100000000003</v>
      </c>
      <c r="H13" s="10">
        <f>F13/F29%</f>
        <v>1.9270833333333333</v>
      </c>
      <c r="I13" s="11">
        <f>G13/G29%</f>
        <v>1.2337869377130515</v>
      </c>
    </row>
    <row r="14" spans="1:9" s="18" customFormat="1" ht="21" customHeight="1">
      <c r="A14" s="17" t="s">
        <v>16</v>
      </c>
      <c r="B14" s="13">
        <v>60762</v>
      </c>
      <c r="C14" s="7">
        <v>13265.578</v>
      </c>
      <c r="D14" s="15">
        <f>B14/B29%</f>
        <v>39.829308581766696</v>
      </c>
      <c r="E14" s="16">
        <f>C14/C29%</f>
        <v>47.246227669739852</v>
      </c>
      <c r="F14" s="13">
        <v>40642</v>
      </c>
      <c r="G14" s="7">
        <v>8491.232</v>
      </c>
      <c r="H14" s="10">
        <f>F14/F29%</f>
        <v>25.814278455284551</v>
      </c>
      <c r="I14" s="11">
        <f>G14/G29%</f>
        <v>36.398911568964976</v>
      </c>
    </row>
    <row r="15" spans="1:9" s="18" customFormat="1" ht="21" customHeight="1">
      <c r="A15" s="17" t="s">
        <v>17</v>
      </c>
      <c r="B15" s="13">
        <v>2892</v>
      </c>
      <c r="C15" s="7">
        <v>147.19</v>
      </c>
      <c r="D15" s="19">
        <f>B15/B29%</f>
        <v>1.895697317706285</v>
      </c>
      <c r="E15" s="20">
        <f>C15/C29%</f>
        <v>0.52422685620702014</v>
      </c>
      <c r="F15" s="13">
        <v>3602</v>
      </c>
      <c r="G15" s="7">
        <v>181.80600000000001</v>
      </c>
      <c r="H15" s="19">
        <f>F15/F29%</f>
        <v>2.2878556910569103</v>
      </c>
      <c r="I15" s="20">
        <f>G15/G29%</f>
        <v>0.77933808859624221</v>
      </c>
    </row>
    <row r="16" spans="1:9" s="18" customFormat="1" ht="21" customHeight="1">
      <c r="A16" s="17" t="s">
        <v>18</v>
      </c>
      <c r="B16" s="13">
        <v>12846</v>
      </c>
      <c r="C16" s="7">
        <v>2431.114</v>
      </c>
      <c r="D16" s="15">
        <f>B16/B29%</f>
        <v>8.4205144340438931</v>
      </c>
      <c r="E16" s="16">
        <f>C16/C29%</f>
        <v>8.6585722488000094</v>
      </c>
      <c r="F16" s="13">
        <v>26844</v>
      </c>
      <c r="G16" s="7">
        <v>3705.3420000000001</v>
      </c>
      <c r="H16" s="10">
        <f>F16/F29%</f>
        <v>17.050304878048781</v>
      </c>
      <c r="I16" s="11">
        <f>G16/G29%</f>
        <v>15.883492029280537</v>
      </c>
    </row>
    <row r="17" spans="1:9" ht="21" customHeight="1">
      <c r="A17" s="12" t="s">
        <v>19</v>
      </c>
      <c r="B17" s="13">
        <v>884</v>
      </c>
      <c r="C17" s="7">
        <v>104.35599999999999</v>
      </c>
      <c r="D17" s="15">
        <f>B17/B29%</f>
        <v>0.57945934607619498</v>
      </c>
      <c r="E17" s="16">
        <f>C17/C29%</f>
        <v>0.37167075077342066</v>
      </c>
      <c r="F17" s="13">
        <v>332</v>
      </c>
      <c r="G17" s="7">
        <v>39.393000000000001</v>
      </c>
      <c r="H17" s="10">
        <f>F17/F29%</f>
        <v>0.21087398373983737</v>
      </c>
      <c r="I17" s="11">
        <f>G17/G29%</f>
        <v>0.16886387316189658</v>
      </c>
    </row>
    <row r="18" spans="1:9" ht="21" customHeight="1">
      <c r="A18" s="12" t="s">
        <v>20</v>
      </c>
      <c r="B18" s="13">
        <v>0</v>
      </c>
      <c r="C18" s="7">
        <v>0</v>
      </c>
      <c r="D18" s="15">
        <f>B18/B29%</f>
        <v>0</v>
      </c>
      <c r="E18" s="16">
        <f>C18/C29%</f>
        <v>0</v>
      </c>
      <c r="F18" s="13">
        <v>0</v>
      </c>
      <c r="G18" s="7">
        <v>0</v>
      </c>
      <c r="H18" s="10">
        <f>F18/F29%</f>
        <v>0</v>
      </c>
      <c r="I18" s="11">
        <f>G18/G29%</f>
        <v>0</v>
      </c>
    </row>
    <row r="19" spans="1:9" ht="21" customHeight="1">
      <c r="A19" s="12" t="s">
        <v>21</v>
      </c>
      <c r="B19" s="13">
        <v>0</v>
      </c>
      <c r="C19" s="7">
        <v>0</v>
      </c>
      <c r="D19" s="15">
        <f>B19/B29%</f>
        <v>0</v>
      </c>
      <c r="E19" s="16">
        <f>C19/C29%</f>
        <v>0</v>
      </c>
      <c r="F19" s="13">
        <v>0</v>
      </c>
      <c r="G19" s="7">
        <v>0</v>
      </c>
      <c r="H19" s="10">
        <f>F19/F29%</f>
        <v>0</v>
      </c>
      <c r="I19" s="11">
        <f>G19/G29%</f>
        <v>0</v>
      </c>
    </row>
    <row r="20" spans="1:9" ht="21" customHeight="1">
      <c r="A20" s="12" t="s">
        <v>22</v>
      </c>
      <c r="B20" s="13">
        <v>17716</v>
      </c>
      <c r="C20" s="7">
        <v>4393.3649999999998</v>
      </c>
      <c r="D20" s="15">
        <f>B20/B29%</f>
        <v>11.612784813445554</v>
      </c>
      <c r="E20" s="16">
        <f>C20/C29%</f>
        <v>15.647258116176063</v>
      </c>
      <c r="F20" s="13">
        <v>20892</v>
      </c>
      <c r="G20" s="7">
        <v>3538.2959999999998</v>
      </c>
      <c r="H20" s="10">
        <f>F20/F29%</f>
        <v>13.269817073170731</v>
      </c>
      <c r="I20" s="11">
        <f>G20/G29%</f>
        <v>15.167424845867185</v>
      </c>
    </row>
    <row r="21" spans="1:9" ht="21" customHeight="1">
      <c r="A21" s="17" t="s">
        <v>23</v>
      </c>
      <c r="B21" s="13">
        <v>13580</v>
      </c>
      <c r="C21" s="7">
        <v>1757.932</v>
      </c>
      <c r="D21" s="15">
        <f>B21/B29%</f>
        <v>8.9016492304465249</v>
      </c>
      <c r="E21" s="16">
        <f>C21/C29%</f>
        <v>6.260990323973906</v>
      </c>
      <c r="F21" s="13">
        <v>15918</v>
      </c>
      <c r="G21" s="7">
        <v>1690.77</v>
      </c>
      <c r="H21" s="10">
        <f>F21/F29%</f>
        <v>10.110518292682926</v>
      </c>
      <c r="I21" s="11">
        <f>G21/G29%</f>
        <v>7.2477336284603835</v>
      </c>
    </row>
    <row r="22" spans="1:9" s="18" customFormat="1" ht="21" customHeight="1">
      <c r="A22" s="17" t="s">
        <v>24</v>
      </c>
      <c r="B22" s="13">
        <v>0</v>
      </c>
      <c r="C22" s="14">
        <v>0</v>
      </c>
      <c r="D22" s="15">
        <f>B22/B29%</f>
        <v>0</v>
      </c>
      <c r="E22" s="16">
        <f>C22/C29%</f>
        <v>0</v>
      </c>
      <c r="F22" s="13">
        <v>0</v>
      </c>
      <c r="G22" s="14">
        <v>0</v>
      </c>
      <c r="H22" s="10">
        <f>F22/F29%</f>
        <v>0</v>
      </c>
      <c r="I22" s="11">
        <f>G22/G29%</f>
        <v>0</v>
      </c>
    </row>
    <row r="23" spans="1:9" s="18" customFormat="1" ht="21" customHeight="1">
      <c r="A23" s="17" t="s">
        <v>25</v>
      </c>
      <c r="B23" s="13">
        <v>39427</v>
      </c>
      <c r="C23" s="7">
        <v>5299.4949999999999</v>
      </c>
      <c r="D23" s="15">
        <f>B23/B29%</f>
        <v>25.844280133196992</v>
      </c>
      <c r="E23" s="16">
        <f>C23/C29%</f>
        <v>18.87449964898989</v>
      </c>
      <c r="F23" s="13">
        <v>42726</v>
      </c>
      <c r="G23" s="7">
        <v>4886.7719999999999</v>
      </c>
      <c r="H23" s="10">
        <f>F23/F29%</f>
        <v>27.13795731707317</v>
      </c>
      <c r="I23" s="11">
        <f>G23/G29%</f>
        <v>20.947865031328096</v>
      </c>
    </row>
    <row r="24" spans="1:9" s="18" customFormat="1" ht="21" customHeight="1">
      <c r="A24" s="17" t="s">
        <v>26</v>
      </c>
      <c r="B24" s="13">
        <v>259</v>
      </c>
      <c r="C24" s="7">
        <v>48.732999999999997</v>
      </c>
      <c r="D24" s="15">
        <f>B24/B29%</f>
        <v>0.16977372243635125</v>
      </c>
      <c r="E24" s="16">
        <f>C24/C29%</f>
        <v>0.17356578153092403</v>
      </c>
      <c r="F24" s="13">
        <v>0</v>
      </c>
      <c r="G24" s="7">
        <v>0</v>
      </c>
      <c r="H24" s="10">
        <f>F24/F29%</f>
        <v>0</v>
      </c>
      <c r="I24" s="11">
        <f>G24/G29%</f>
        <v>0</v>
      </c>
    </row>
    <row r="25" spans="1:9" s="18" customFormat="1" ht="21" customHeight="1">
      <c r="A25" s="17" t="s">
        <v>27</v>
      </c>
      <c r="B25" s="13">
        <v>0</v>
      </c>
      <c r="C25" s="7">
        <v>0</v>
      </c>
      <c r="D25" s="15">
        <f>B25/B29%</f>
        <v>0</v>
      </c>
      <c r="E25" s="16">
        <f>C25/C29%</f>
        <v>0</v>
      </c>
      <c r="F25" s="13">
        <v>0</v>
      </c>
      <c r="G25" s="7">
        <v>0</v>
      </c>
      <c r="H25" s="10">
        <f>F25/F29%</f>
        <v>0</v>
      </c>
      <c r="I25" s="11">
        <f>G25/G29%</f>
        <v>0</v>
      </c>
    </row>
    <row r="26" spans="1:9" s="18" customFormat="1" ht="21" customHeight="1">
      <c r="A26" s="17" t="s">
        <v>28</v>
      </c>
      <c r="B26" s="21">
        <v>0</v>
      </c>
      <c r="C26" s="14">
        <v>0</v>
      </c>
      <c r="D26" s="15">
        <f>B26/B29%</f>
        <v>0</v>
      </c>
      <c r="E26" s="16">
        <f>C26/C29%</f>
        <v>0</v>
      </c>
      <c r="F26" s="21">
        <v>0</v>
      </c>
      <c r="G26" s="14">
        <v>0</v>
      </c>
      <c r="H26" s="22">
        <f>F26/F29%</f>
        <v>0</v>
      </c>
      <c r="I26" s="23">
        <f>G26/G29%</f>
        <v>0</v>
      </c>
    </row>
    <row r="27" spans="1:9" s="18" customFormat="1" ht="21" customHeight="1">
      <c r="A27" s="17" t="s">
        <v>29</v>
      </c>
      <c r="B27" s="21">
        <v>164</v>
      </c>
      <c r="C27" s="7">
        <v>28.785</v>
      </c>
      <c r="D27" s="15">
        <f>B27/B29%</f>
        <v>0.107501507643095</v>
      </c>
      <c r="E27" s="16">
        <f>C27/C29%</f>
        <v>0.10251966883564831</v>
      </c>
      <c r="F27" s="21">
        <v>243</v>
      </c>
      <c r="G27" s="7">
        <v>42.2</v>
      </c>
      <c r="H27" s="10">
        <f>F27/F29%</f>
        <v>0.15434451219512194</v>
      </c>
      <c r="I27" s="11">
        <f>G27/G29%</f>
        <v>0.18089649042804651</v>
      </c>
    </row>
    <row r="28" spans="1:9" s="18" customFormat="1" ht="21" customHeight="1" thickBot="1">
      <c r="A28" s="24" t="s">
        <v>30</v>
      </c>
      <c r="B28" s="21">
        <v>2558</v>
      </c>
      <c r="C28" s="7">
        <v>442.2</v>
      </c>
      <c r="D28" s="25">
        <f>B28/B29%</f>
        <v>1.6767613204331524</v>
      </c>
      <c r="E28" s="26">
        <f>C28/C29%</f>
        <v>1.5749243550155871</v>
      </c>
      <c r="F28" s="21">
        <v>3085</v>
      </c>
      <c r="G28" s="7">
        <v>452.27300000000002</v>
      </c>
      <c r="H28" s="10">
        <f>F28/F29%</f>
        <v>1.9594766260162602</v>
      </c>
      <c r="I28" s="11">
        <f>G28/G29%</f>
        <v>1.938734559605779</v>
      </c>
    </row>
    <row r="29" spans="1:9" ht="21" customHeight="1" thickTop="1" thickBot="1">
      <c r="A29" s="27" t="s">
        <v>31</v>
      </c>
      <c r="B29" s="28">
        <f t="shared" ref="B29:G29" si="0">SUM(B9:B28)</f>
        <v>152556</v>
      </c>
      <c r="C29" s="29">
        <f t="shared" si="0"/>
        <v>28077.539000000001</v>
      </c>
      <c r="D29" s="30" t="s">
        <v>32</v>
      </c>
      <c r="E29" s="30" t="s">
        <v>32</v>
      </c>
      <c r="F29" s="28">
        <f t="shared" si="0"/>
        <v>157440</v>
      </c>
      <c r="G29" s="29">
        <f t="shared" si="0"/>
        <v>23328.258000000005</v>
      </c>
      <c r="H29" s="30" t="s">
        <v>32</v>
      </c>
      <c r="I29" s="30" t="s">
        <v>32</v>
      </c>
    </row>
    <row r="30" spans="1:9" ht="13.5" thickTop="1"/>
  </sheetData>
  <mergeCells count="10">
    <mergeCell ref="A7:A8"/>
    <mergeCell ref="B7:C7"/>
    <mergeCell ref="D7:E7"/>
    <mergeCell ref="F7:G7"/>
    <mergeCell ref="H7:I7"/>
    <mergeCell ref="A1:I1"/>
    <mergeCell ref="A2:I2"/>
    <mergeCell ref="A3:I3"/>
    <mergeCell ref="A4:I4"/>
    <mergeCell ref="A5:I5"/>
  </mergeCells>
  <pageMargins left="0.42" right="0.17" top="0.14000000000000001" bottom="0.27" header="0.16" footer="0.17"/>
  <pageSetup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Musharraf</dc:creator>
  <cp:lastModifiedBy>Musharraf</cp:lastModifiedBy>
  <cp:lastPrinted>2026-05-16T06:54:16Z</cp:lastPrinted>
  <dcterms:created xsi:type="dcterms:W3CDTF">2026-05-16T03:16:14Z</dcterms:created>
  <dcterms:modified xsi:type="dcterms:W3CDTF">2026-05-16T07:04:43Z</dcterms:modified>
</cp:coreProperties>
</file>
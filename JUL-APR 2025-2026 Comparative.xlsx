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5600" windowHeight="7665"/>
  </bookViews>
  <sheets>
    <sheet name="JUL-APR" sheetId="6" r:id="rId1"/>
    <sheet name="JUL-MAR" sheetId="4" r:id="rId2"/>
    <sheet name="JUL-FEB" sheetId="1" r:id="rId3"/>
    <sheet name="JUL-JAN" sheetId="2" r:id="rId4"/>
    <sheet name="JUL-DEC" sheetId="3" r:id="rId5"/>
    <sheet name="JUL-NOV" sheetId="5" r:id="rId6"/>
  </sheets>
  <calcPr calcId="124519"/>
</workbook>
</file>

<file path=xl/calcChain.xml><?xml version="1.0" encoding="utf-8"?>
<calcChain xmlns="http://schemas.openxmlformats.org/spreadsheetml/2006/main">
  <c r="K28" i="6"/>
  <c r="H27"/>
  <c r="H29" s="1"/>
  <c r="H30" s="1"/>
  <c r="G27"/>
  <c r="F27"/>
  <c r="E27"/>
  <c r="E29" s="1"/>
  <c r="E30" s="1"/>
  <c r="D27"/>
  <c r="C27"/>
  <c r="K26"/>
  <c r="J26"/>
  <c r="I26"/>
  <c r="K25"/>
  <c r="J25"/>
  <c r="I25"/>
  <c r="K24"/>
  <c r="J24"/>
  <c r="I24"/>
  <c r="K23"/>
  <c r="J23"/>
  <c r="I23"/>
  <c r="K22"/>
  <c r="J22"/>
  <c r="I22"/>
  <c r="K21"/>
  <c r="J21"/>
  <c r="I21"/>
  <c r="K20"/>
  <c r="J20"/>
  <c r="I20"/>
  <c r="H19"/>
  <c r="G19"/>
  <c r="F19"/>
  <c r="E19"/>
  <c r="D19"/>
  <c r="C19"/>
  <c r="K18"/>
  <c r="J18"/>
  <c r="I18"/>
  <c r="K17"/>
  <c r="J17"/>
  <c r="I17"/>
  <c r="K16"/>
  <c r="J16"/>
  <c r="J19" s="1"/>
  <c r="I16"/>
  <c r="H15"/>
  <c r="G15"/>
  <c r="F15"/>
  <c r="E15"/>
  <c r="D15"/>
  <c r="C15"/>
  <c r="K14"/>
  <c r="J14"/>
  <c r="I14"/>
  <c r="K13"/>
  <c r="J13"/>
  <c r="I13"/>
  <c r="K12"/>
  <c r="J12"/>
  <c r="I12"/>
  <c r="I15" s="1"/>
  <c r="K11"/>
  <c r="J11"/>
  <c r="I11"/>
  <c r="K10"/>
  <c r="J10"/>
  <c r="I10"/>
  <c r="K9"/>
  <c r="J9"/>
  <c r="J27" s="1"/>
  <c r="I9"/>
  <c r="K25" i="5"/>
  <c r="H24"/>
  <c r="H26" s="1"/>
  <c r="H27" s="1"/>
  <c r="G24"/>
  <c r="F24"/>
  <c r="E24"/>
  <c r="E26" s="1"/>
  <c r="E27" s="1"/>
  <c r="D24"/>
  <c r="C24"/>
  <c r="K23"/>
  <c r="J23"/>
  <c r="I23"/>
  <c r="K22"/>
  <c r="J22"/>
  <c r="I22"/>
  <c r="K21"/>
  <c r="J21"/>
  <c r="I21"/>
  <c r="K20"/>
  <c r="J20"/>
  <c r="I20"/>
  <c r="K19"/>
  <c r="J19"/>
  <c r="I19"/>
  <c r="K18"/>
  <c r="J18"/>
  <c r="I18"/>
  <c r="K17"/>
  <c r="J17"/>
  <c r="I17"/>
  <c r="H16"/>
  <c r="G16"/>
  <c r="F16"/>
  <c r="E16"/>
  <c r="D16"/>
  <c r="C16"/>
  <c r="K15"/>
  <c r="J15"/>
  <c r="I15"/>
  <c r="K14"/>
  <c r="K16" s="1"/>
  <c r="J14"/>
  <c r="I14"/>
  <c r="I16" s="1"/>
  <c r="K13"/>
  <c r="J13"/>
  <c r="J16" s="1"/>
  <c r="I13"/>
  <c r="H12"/>
  <c r="G12"/>
  <c r="F12"/>
  <c r="E12"/>
  <c r="D12"/>
  <c r="C12"/>
  <c r="K11"/>
  <c r="J11"/>
  <c r="I11"/>
  <c r="K10"/>
  <c r="K12" s="1"/>
  <c r="J10"/>
  <c r="I10"/>
  <c r="I12" s="1"/>
  <c r="K9"/>
  <c r="J9"/>
  <c r="J12" s="1"/>
  <c r="I9"/>
  <c r="K8"/>
  <c r="J8"/>
  <c r="I8"/>
  <c r="K7"/>
  <c r="J7"/>
  <c r="I7"/>
  <c r="K6"/>
  <c r="K24" s="1"/>
  <c r="J6"/>
  <c r="J24" s="1"/>
  <c r="I6"/>
  <c r="I24" s="1"/>
  <c r="K28" i="2"/>
  <c r="H27"/>
  <c r="H29" s="1"/>
  <c r="H30" s="1"/>
  <c r="G27"/>
  <c r="F27"/>
  <c r="E27"/>
  <c r="E29" s="1"/>
  <c r="E30" s="1"/>
  <c r="D27"/>
  <c r="C27"/>
  <c r="K26"/>
  <c r="J26"/>
  <c r="I26"/>
  <c r="K25"/>
  <c r="J25"/>
  <c r="I25"/>
  <c r="K24"/>
  <c r="J24"/>
  <c r="I24"/>
  <c r="K23"/>
  <c r="J23"/>
  <c r="I23"/>
  <c r="K22"/>
  <c r="J22"/>
  <c r="I22"/>
  <c r="K21"/>
  <c r="J21"/>
  <c r="I21"/>
  <c r="K20"/>
  <c r="J20"/>
  <c r="I20"/>
  <c r="H19"/>
  <c r="G19"/>
  <c r="F19"/>
  <c r="E19"/>
  <c r="D19"/>
  <c r="C19"/>
  <c r="K18"/>
  <c r="J18"/>
  <c r="I18"/>
  <c r="K17"/>
  <c r="J17"/>
  <c r="I17"/>
  <c r="I19" s="1"/>
  <c r="K16"/>
  <c r="K19" s="1"/>
  <c r="J16"/>
  <c r="J19" s="1"/>
  <c r="I16"/>
  <c r="H15"/>
  <c r="G15"/>
  <c r="F15"/>
  <c r="E15"/>
  <c r="D15"/>
  <c r="C15"/>
  <c r="K14"/>
  <c r="J14"/>
  <c r="I14"/>
  <c r="K13"/>
  <c r="K15" s="1"/>
  <c r="J13"/>
  <c r="I13"/>
  <c r="K12"/>
  <c r="J12"/>
  <c r="J15" s="1"/>
  <c r="I12"/>
  <c r="I15" s="1"/>
  <c r="K11"/>
  <c r="J11"/>
  <c r="I11"/>
  <c r="K10"/>
  <c r="J10"/>
  <c r="I10"/>
  <c r="K9"/>
  <c r="K27" s="1"/>
  <c r="J9"/>
  <c r="J27" s="1"/>
  <c r="I9"/>
  <c r="I27" s="1"/>
  <c r="K19" i="6" l="1"/>
  <c r="I19"/>
  <c r="K15"/>
  <c r="K27"/>
  <c r="J15"/>
  <c r="I27"/>
  <c r="K28" i="3"/>
  <c r="H27"/>
  <c r="H29" s="1"/>
  <c r="H30" s="1"/>
  <c r="G27"/>
  <c r="F27"/>
  <c r="E27"/>
  <c r="E29" s="1"/>
  <c r="E30" s="1"/>
  <c r="D27"/>
  <c r="C27"/>
  <c r="K26"/>
  <c r="J26"/>
  <c r="I26"/>
  <c r="K25"/>
  <c r="J25"/>
  <c r="I25"/>
  <c r="K24"/>
  <c r="J24"/>
  <c r="I24"/>
  <c r="K23"/>
  <c r="J23"/>
  <c r="I23"/>
  <c r="K22"/>
  <c r="J22"/>
  <c r="I22"/>
  <c r="K21"/>
  <c r="J21"/>
  <c r="I21"/>
  <c r="K20"/>
  <c r="J20"/>
  <c r="I20"/>
  <c r="H19"/>
  <c r="G19"/>
  <c r="F19"/>
  <c r="E19"/>
  <c r="D19"/>
  <c r="C19"/>
  <c r="K18"/>
  <c r="J18"/>
  <c r="I18"/>
  <c r="K17"/>
  <c r="K19" s="1"/>
  <c r="J17"/>
  <c r="I17"/>
  <c r="I19" s="1"/>
  <c r="K16"/>
  <c r="J16"/>
  <c r="J19" s="1"/>
  <c r="I16"/>
  <c r="H15"/>
  <c r="G15"/>
  <c r="F15"/>
  <c r="E15"/>
  <c r="D15"/>
  <c r="C15"/>
  <c r="K14"/>
  <c r="J14"/>
  <c r="I14"/>
  <c r="K13"/>
  <c r="K15" s="1"/>
  <c r="J13"/>
  <c r="I13"/>
  <c r="I15" s="1"/>
  <c r="K12"/>
  <c r="J12"/>
  <c r="J15" s="1"/>
  <c r="I12"/>
  <c r="K11"/>
  <c r="J11"/>
  <c r="I11"/>
  <c r="K10"/>
  <c r="J10"/>
  <c r="I10"/>
  <c r="K9"/>
  <c r="K27" s="1"/>
  <c r="J9"/>
  <c r="J27" s="1"/>
  <c r="I9"/>
  <c r="I27" s="1"/>
  <c r="K28" i="4" l="1"/>
  <c r="H27"/>
  <c r="H29" s="1"/>
  <c r="H30" s="1"/>
  <c r="G27"/>
  <c r="F27"/>
  <c r="E27"/>
  <c r="E29" s="1"/>
  <c r="E30" s="1"/>
  <c r="D27"/>
  <c r="C27"/>
  <c r="K26"/>
  <c r="J26"/>
  <c r="I26"/>
  <c r="K25"/>
  <c r="J25"/>
  <c r="I25"/>
  <c r="K24"/>
  <c r="J24"/>
  <c r="I24"/>
  <c r="K23"/>
  <c r="J23"/>
  <c r="I23"/>
  <c r="K22"/>
  <c r="J22"/>
  <c r="I22"/>
  <c r="K21"/>
  <c r="J21"/>
  <c r="I21"/>
  <c r="K20"/>
  <c r="J20"/>
  <c r="I20"/>
  <c r="H19"/>
  <c r="G19"/>
  <c r="F19"/>
  <c r="E19"/>
  <c r="D19"/>
  <c r="C19"/>
  <c r="K18"/>
  <c r="J18"/>
  <c r="I18"/>
  <c r="K17"/>
  <c r="J17"/>
  <c r="I17"/>
  <c r="K16"/>
  <c r="J16"/>
  <c r="I16"/>
  <c r="H15"/>
  <c r="G15"/>
  <c r="F15"/>
  <c r="E15"/>
  <c r="D15"/>
  <c r="C15"/>
  <c r="K14"/>
  <c r="J14"/>
  <c r="I14"/>
  <c r="K13"/>
  <c r="J13"/>
  <c r="I13"/>
  <c r="K12"/>
  <c r="J12"/>
  <c r="I12"/>
  <c r="K11"/>
  <c r="J11"/>
  <c r="I11"/>
  <c r="K10"/>
  <c r="J10"/>
  <c r="I10"/>
  <c r="K9"/>
  <c r="J9"/>
  <c r="I9"/>
  <c r="E27" i="1"/>
  <c r="I26"/>
  <c r="K28"/>
  <c r="K26"/>
  <c r="J26"/>
  <c r="K25"/>
  <c r="J25"/>
  <c r="I25"/>
  <c r="K24"/>
  <c r="J24"/>
  <c r="I24"/>
  <c r="K23"/>
  <c r="J23"/>
  <c r="I23"/>
  <c r="K22"/>
  <c r="J22"/>
  <c r="I22"/>
  <c r="K21"/>
  <c r="J21"/>
  <c r="I21"/>
  <c r="K20"/>
  <c r="J20"/>
  <c r="I20"/>
  <c r="K18"/>
  <c r="J18"/>
  <c r="I18"/>
  <c r="K17"/>
  <c r="J17"/>
  <c r="I17"/>
  <c r="K16"/>
  <c r="J16"/>
  <c r="I16"/>
  <c r="I10"/>
  <c r="J10"/>
  <c r="K10"/>
  <c r="I11"/>
  <c r="J11"/>
  <c r="K11"/>
  <c r="I12"/>
  <c r="J12"/>
  <c r="K12"/>
  <c r="I13"/>
  <c r="J13"/>
  <c r="K13"/>
  <c r="I14"/>
  <c r="J14"/>
  <c r="K14"/>
  <c r="K9"/>
  <c r="J9"/>
  <c r="I9"/>
  <c r="H27"/>
  <c r="H29" s="1"/>
  <c r="H30" s="1"/>
  <c r="F27"/>
  <c r="E29"/>
  <c r="E30" s="1"/>
  <c r="C27"/>
  <c r="H19"/>
  <c r="F19"/>
  <c r="E19"/>
  <c r="C19"/>
  <c r="G19"/>
  <c r="H15"/>
  <c r="F15"/>
  <c r="E15"/>
  <c r="C15"/>
  <c r="G15"/>
  <c r="G27"/>
  <c r="D27"/>
  <c r="J27" i="4" l="1"/>
  <c r="I19"/>
  <c r="K19"/>
  <c r="J19"/>
  <c r="K27"/>
  <c r="J15"/>
  <c r="I27"/>
  <c r="I15"/>
  <c r="K15"/>
  <c r="I19" i="1"/>
  <c r="I15"/>
  <c r="K27"/>
  <c r="I27"/>
  <c r="J27"/>
  <c r="K15"/>
  <c r="K19"/>
  <c r="J19"/>
  <c r="J15"/>
  <c r="D15"/>
  <c r="D19"/>
</calcChain>
</file>

<file path=xl/sharedStrings.xml><?xml version="1.0" encoding="utf-8"?>
<sst xmlns="http://schemas.openxmlformats.org/spreadsheetml/2006/main" count="351" uniqueCount="48">
  <si>
    <t>Commodity</t>
  </si>
  <si>
    <t>No. of Wagon</t>
  </si>
  <si>
    <t>Tonnage</t>
  </si>
  <si>
    <t>Freight</t>
  </si>
  <si>
    <t>P.O.L</t>
  </si>
  <si>
    <t>Fertilizer</t>
  </si>
  <si>
    <t>R/Phosphate</t>
  </si>
  <si>
    <t>GITA Contaienr</t>
  </si>
  <si>
    <t>Dry Port (Container)</t>
  </si>
  <si>
    <t>Local Container (NB)</t>
  </si>
  <si>
    <t>TOTAL CONTAINER</t>
  </si>
  <si>
    <t>YSW / Coal</t>
  </si>
  <si>
    <t>AKDD / Coal</t>
  </si>
  <si>
    <t>Other Than YSW / Coal</t>
  </si>
  <si>
    <t>TOTAL  COAL</t>
  </si>
  <si>
    <t>Cargo Express</t>
  </si>
  <si>
    <t>Wheat</t>
  </si>
  <si>
    <t>Rape Seeds</t>
  </si>
  <si>
    <t>Steel Coils</t>
  </si>
  <si>
    <t>PTA</t>
  </si>
  <si>
    <t>Military Store</t>
  </si>
  <si>
    <t>Others</t>
  </si>
  <si>
    <t>Total</t>
  </si>
  <si>
    <t>Budget</t>
  </si>
  <si>
    <t>-</t>
  </si>
  <si>
    <t>Variation</t>
  </si>
  <si>
    <t>Percentage</t>
  </si>
  <si>
    <t>COMPARED WITH CORRESPONDING PERIOD</t>
  </si>
  <si>
    <t xml:space="preserve">Wagon are unit </t>
  </si>
  <si>
    <t>Freight in Million</t>
  </si>
  <si>
    <t>FREIGHT LOADING, TONNAGE &amp; EARNING WITH BUDGET TARGET FROM JULY TO FEBRUARY-2025-2026</t>
  </si>
  <si>
    <t>2024-2025
(JUL-FEB)</t>
  </si>
  <si>
    <t>2025-2026
(JUL-FEB)</t>
  </si>
  <si>
    <t>FREIGHT LOADING, TONNAGE &amp; EARNING WITH BUDGET TARGET FROM JULY TO MARCH-2025-2026</t>
  </si>
  <si>
    <t>2025-2026
(JUL-MAR)</t>
  </si>
  <si>
    <t>2024-2025
(JUL-MAR)</t>
  </si>
  <si>
    <t>FREIGHT LOADING, TONNAGE &amp; EARNING WITH BUDGET TARGET FROM JULY TO DECEMBER-2025</t>
  </si>
  <si>
    <t>2025-2026
(JULY-DEC 2025)</t>
  </si>
  <si>
    <t>2024-2025
(JULY-DEC 2024)</t>
  </si>
  <si>
    <t>FREIGHT LOADING, TONNAGE &amp; EARNING WITH BUDGET TARGET FROM JULY TO JANUARY-2025-2026</t>
  </si>
  <si>
    <t>2025-2026
(JUL-JAN)</t>
  </si>
  <si>
    <t>2024-2025
(JUL-JAN)</t>
  </si>
  <si>
    <t>COMMODITY WISE LOADING, EARNING AND TONNAGE  
FROM JULY - NOV (2025 - 2026) COMPARED WITH CORRESPONDING PERIOD</t>
  </si>
  <si>
    <t>2025-2026
(JUL-NOV 2025)</t>
  </si>
  <si>
    <t>2024-2025
(JUL-NOV 2024)</t>
  </si>
  <si>
    <t>FREIGHT LOADING, TONNAGE &amp; EARNING WITH BUDGET TARGET FROM JULY TO APRIL-2025-2026</t>
  </si>
  <si>
    <t>2025-2026
(JUL-APR)</t>
  </si>
  <si>
    <t>2024-2025
(JUL-APR)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</si>
</sst>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%"/>
  </numFmts>
  <fonts count="12"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u/>
      <sz val="12"/>
      <name val="Calibri"/>
      <family val="2"/>
      <scheme val="minor"/>
    </font>
    <font>
      <b/>
      <sz val="10"/>
      <color rgb="FF000000"/>
      <name val="Calibri"/>
      <family val="2"/>
    </font>
    <font>
      <b/>
      <u/>
      <sz val="11"/>
      <name val="Calibri"/>
      <family val="2"/>
      <scheme val="minor"/>
    </font>
    <font>
      <b/>
      <u/>
      <sz val="1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3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3" fontId="4" fillId="0" borderId="22" xfId="0" applyNumberFormat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66" fontId="5" fillId="0" borderId="1" xfId="0" quotePrefix="1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readingOrder="1"/>
    </xf>
    <xf numFmtId="0" fontId="6" fillId="0" borderId="0" xfId="0" applyFont="1" applyBorder="1" applyAlignment="1">
      <alignment horizontal="center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3" fontId="4" fillId="0" borderId="26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3" fontId="4" fillId="0" borderId="28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3" fontId="4" fillId="0" borderId="30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readingOrder="1"/>
    </xf>
    <xf numFmtId="0" fontId="8" fillId="0" borderId="0" xfId="0" applyFont="1" applyAlignment="1">
      <alignment horizontal="center" readingOrder="1"/>
    </xf>
    <xf numFmtId="0" fontId="8" fillId="0" borderId="0" xfId="0" applyFont="1" applyBorder="1" applyAlignment="1">
      <alignment horizontal="center" readingOrder="1"/>
    </xf>
    <xf numFmtId="0" fontId="7" fillId="0" borderId="0" xfId="0" applyFont="1" applyAlignment="1">
      <alignment horizontal="right" vertical="center" wrapText="1" readingOrder="1"/>
    </xf>
    <xf numFmtId="0" fontId="7" fillId="0" borderId="25" xfId="0" applyFont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readingOrder="1"/>
    </xf>
    <xf numFmtId="0" fontId="6" fillId="0" borderId="0" xfId="0" applyFont="1" applyBorder="1" applyAlignment="1">
      <alignment horizontal="center" readingOrder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K36"/>
  <sheetViews>
    <sheetView showGridLines="0" tabSelected="1" workbookViewId="0">
      <selection activeCell="B6" sqref="B6"/>
    </sheetView>
  </sheetViews>
  <sheetFormatPr defaultRowHeight="15"/>
  <cols>
    <col min="1" max="1" width="2.28515625" customWidth="1"/>
    <col min="2" max="2" width="19.140625" bestFit="1" customWidth="1"/>
    <col min="3" max="3" width="7.42578125" bestFit="1" customWidth="1"/>
    <col min="4" max="4" width="8.85546875" bestFit="1" customWidth="1"/>
    <col min="5" max="5" width="9.85546875" bestFit="1" customWidth="1"/>
    <col min="6" max="6" width="7.42578125" bestFit="1" customWidth="1"/>
    <col min="7" max="7" width="8.85546875" bestFit="1" customWidth="1"/>
    <col min="8" max="8" width="9.85546875" bestFit="1" customWidth="1"/>
    <col min="9" max="9" width="7" bestFit="1" customWidth="1"/>
    <col min="10" max="11" width="9.42578125" bestFit="1" customWidth="1"/>
    <col min="12" max="12" width="3.140625" customWidth="1"/>
  </cols>
  <sheetData>
    <row r="3" spans="2:11">
      <c r="B3" s="56" t="s">
        <v>45</v>
      </c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7" t="s">
        <v>27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15.75">
      <c r="B5" s="55"/>
      <c r="C5" s="55"/>
      <c r="D5" s="55"/>
      <c r="E5" s="55"/>
      <c r="F5" s="55"/>
      <c r="G5" s="55"/>
      <c r="H5" s="55"/>
      <c r="I5" s="55"/>
      <c r="J5" s="58" t="s">
        <v>28</v>
      </c>
      <c r="K5" s="58"/>
    </row>
    <row r="6" spans="2:11" ht="14.25" customHeight="1" thickBot="1">
      <c r="B6" s="35"/>
      <c r="C6" s="35"/>
      <c r="D6" s="35"/>
      <c r="E6" s="35"/>
      <c r="F6" s="35"/>
      <c r="G6" s="35"/>
      <c r="H6" s="35"/>
      <c r="I6" s="35"/>
      <c r="J6" s="59" t="s">
        <v>29</v>
      </c>
      <c r="K6" s="59"/>
    </row>
    <row r="7" spans="2:11" ht="30.75" customHeight="1" thickTop="1" thickBot="1">
      <c r="B7" s="60" t="s">
        <v>0</v>
      </c>
      <c r="C7" s="61" t="s">
        <v>46</v>
      </c>
      <c r="D7" s="60"/>
      <c r="E7" s="60"/>
      <c r="F7" s="62" t="s">
        <v>47</v>
      </c>
      <c r="G7" s="63"/>
      <c r="H7" s="63"/>
      <c r="I7" s="61" t="s">
        <v>25</v>
      </c>
      <c r="J7" s="60"/>
      <c r="K7" s="60"/>
    </row>
    <row r="8" spans="2:11" ht="27" thickTop="1" thickBot="1">
      <c r="B8" s="60"/>
      <c r="C8" s="54" t="s">
        <v>1</v>
      </c>
      <c r="D8" s="53" t="s">
        <v>2</v>
      </c>
      <c r="E8" s="53" t="s">
        <v>3</v>
      </c>
      <c r="F8" s="54" t="s">
        <v>1</v>
      </c>
      <c r="G8" s="53" t="s">
        <v>2</v>
      </c>
      <c r="H8" s="53" t="s">
        <v>3</v>
      </c>
      <c r="I8" s="54" t="s">
        <v>1</v>
      </c>
      <c r="J8" s="53" t="s">
        <v>2</v>
      </c>
      <c r="K8" s="53" t="s">
        <v>3</v>
      </c>
    </row>
    <row r="9" spans="2:11" ht="22.5" customHeight="1" thickTop="1">
      <c r="B9" s="3" t="s">
        <v>4</v>
      </c>
      <c r="C9" s="4">
        <v>32</v>
      </c>
      <c r="D9" s="5">
        <v>804.1</v>
      </c>
      <c r="E9" s="6">
        <v>3.903</v>
      </c>
      <c r="F9" s="4">
        <v>122</v>
      </c>
      <c r="G9" s="5">
        <v>2443.08</v>
      </c>
      <c r="H9" s="6">
        <v>12.353</v>
      </c>
      <c r="I9" s="7">
        <f>C9-F9</f>
        <v>-90</v>
      </c>
      <c r="J9" s="8">
        <f>D9-G9</f>
        <v>-1638.98</v>
      </c>
      <c r="K9" s="9">
        <f>E9-H9</f>
        <v>-8.4499999999999993</v>
      </c>
    </row>
    <row r="10" spans="2:11" ht="22.5" customHeight="1">
      <c r="B10" s="10" t="s">
        <v>5</v>
      </c>
      <c r="C10" s="11">
        <v>1436</v>
      </c>
      <c r="D10" s="12">
        <v>42044</v>
      </c>
      <c r="E10" s="13">
        <v>154.88800000000001</v>
      </c>
      <c r="F10" s="11">
        <v>3034</v>
      </c>
      <c r="G10" s="12">
        <v>85560</v>
      </c>
      <c r="H10" s="13">
        <v>287.82099999999997</v>
      </c>
      <c r="I10" s="14">
        <f t="shared" ref="I10:K14" si="0">C10-F10</f>
        <v>-1598</v>
      </c>
      <c r="J10" s="32">
        <f t="shared" si="0"/>
        <v>-43516</v>
      </c>
      <c r="K10" s="15">
        <f t="shared" si="0"/>
        <v>-132.93299999999996</v>
      </c>
    </row>
    <row r="11" spans="2:11" ht="22.5" customHeight="1">
      <c r="B11" s="10" t="s">
        <v>6</v>
      </c>
      <c r="C11" s="11">
        <v>13580</v>
      </c>
      <c r="D11" s="12">
        <v>407400</v>
      </c>
      <c r="E11" s="13">
        <v>1757.9319999999998</v>
      </c>
      <c r="F11" s="11">
        <v>15918</v>
      </c>
      <c r="G11" s="12">
        <v>477540</v>
      </c>
      <c r="H11" s="13">
        <v>1690.77</v>
      </c>
      <c r="I11" s="14">
        <f t="shared" si="0"/>
        <v>-2338</v>
      </c>
      <c r="J11" s="32">
        <f t="shared" si="0"/>
        <v>-70140</v>
      </c>
      <c r="K11" s="15">
        <f t="shared" si="0"/>
        <v>67.161999999999807</v>
      </c>
    </row>
    <row r="12" spans="2:11" ht="22.5" customHeight="1">
      <c r="B12" s="10" t="s">
        <v>7</v>
      </c>
      <c r="C12" s="11">
        <v>0</v>
      </c>
      <c r="D12" s="12">
        <v>0</v>
      </c>
      <c r="E12" s="13">
        <v>0</v>
      </c>
      <c r="F12" s="11">
        <v>0</v>
      </c>
      <c r="G12" s="12">
        <v>0</v>
      </c>
      <c r="H12" s="13">
        <v>0</v>
      </c>
      <c r="I12" s="14">
        <f t="shared" si="0"/>
        <v>0</v>
      </c>
      <c r="J12" s="32">
        <f t="shared" si="0"/>
        <v>0</v>
      </c>
      <c r="K12" s="15">
        <f t="shared" si="0"/>
        <v>0</v>
      </c>
    </row>
    <row r="13" spans="2:11" ht="22.5" customHeight="1">
      <c r="B13" s="10" t="s">
        <v>8</v>
      </c>
      <c r="C13" s="11">
        <v>884</v>
      </c>
      <c r="D13" s="12">
        <v>26520</v>
      </c>
      <c r="E13" s="13">
        <v>104.35599999999999</v>
      </c>
      <c r="F13" s="11">
        <v>332</v>
      </c>
      <c r="G13" s="12">
        <v>9960</v>
      </c>
      <c r="H13" s="13">
        <v>39.393000000000001</v>
      </c>
      <c r="I13" s="14">
        <f t="shared" si="0"/>
        <v>552</v>
      </c>
      <c r="J13" s="32">
        <f t="shared" si="0"/>
        <v>16560</v>
      </c>
      <c r="K13" s="15">
        <f t="shared" si="0"/>
        <v>64.962999999999994</v>
      </c>
    </row>
    <row r="14" spans="2:11" ht="22.5" customHeight="1" thickBot="1">
      <c r="B14" s="16" t="s">
        <v>9</v>
      </c>
      <c r="C14" s="17">
        <v>39427</v>
      </c>
      <c r="D14" s="18">
        <v>1182810</v>
      </c>
      <c r="E14" s="19">
        <v>5299.4949999999999</v>
      </c>
      <c r="F14" s="17">
        <v>42726</v>
      </c>
      <c r="G14" s="18">
        <v>1281780</v>
      </c>
      <c r="H14" s="19">
        <v>4886.7719999999999</v>
      </c>
      <c r="I14" s="29">
        <f t="shared" si="0"/>
        <v>-3299</v>
      </c>
      <c r="J14" s="33">
        <f t="shared" si="0"/>
        <v>-98970</v>
      </c>
      <c r="K14" s="30">
        <f t="shared" si="0"/>
        <v>412.72299999999996</v>
      </c>
    </row>
    <row r="15" spans="2:11" ht="22.5" customHeight="1" thickTop="1" thickBot="1">
      <c r="B15" s="20" t="s">
        <v>10</v>
      </c>
      <c r="C15" s="21">
        <f t="shared" ref="C15:J15" si="1">SUM(C12:C14)</f>
        <v>40311</v>
      </c>
      <c r="D15" s="22">
        <f t="shared" si="1"/>
        <v>1209330</v>
      </c>
      <c r="E15" s="23">
        <f t="shared" si="1"/>
        <v>5403.8509999999997</v>
      </c>
      <c r="F15" s="21">
        <f t="shared" si="1"/>
        <v>43058</v>
      </c>
      <c r="G15" s="22">
        <f t="shared" si="1"/>
        <v>1291740</v>
      </c>
      <c r="H15" s="23">
        <f t="shared" si="1"/>
        <v>4926.165</v>
      </c>
      <c r="I15" s="21">
        <f>SUM(I12:I14)</f>
        <v>-2747</v>
      </c>
      <c r="J15" s="22">
        <f t="shared" si="1"/>
        <v>-82410</v>
      </c>
      <c r="K15" s="23">
        <f>SUM(K12:K14)</f>
        <v>477.68599999999992</v>
      </c>
    </row>
    <row r="16" spans="2:11" ht="22.5" customHeight="1" thickTop="1">
      <c r="B16" s="26" t="s">
        <v>11</v>
      </c>
      <c r="C16" s="4">
        <v>60762</v>
      </c>
      <c r="D16" s="27">
        <v>1822860</v>
      </c>
      <c r="E16" s="6">
        <v>13265.578000000001</v>
      </c>
      <c r="F16" s="4">
        <v>40642</v>
      </c>
      <c r="G16" s="27">
        <v>1219260</v>
      </c>
      <c r="H16" s="6">
        <v>8491.232</v>
      </c>
      <c r="I16" s="7">
        <f>C16-F16</f>
        <v>20120</v>
      </c>
      <c r="J16" s="8">
        <f>D16-G16</f>
        <v>603600</v>
      </c>
      <c r="K16" s="9">
        <f>E16-H16</f>
        <v>4774.3460000000014</v>
      </c>
    </row>
    <row r="17" spans="2:11" ht="22.5" customHeight="1">
      <c r="B17" s="26" t="s">
        <v>12</v>
      </c>
      <c r="C17" s="4">
        <v>2892</v>
      </c>
      <c r="D17" s="27">
        <v>86760</v>
      </c>
      <c r="E17" s="6">
        <v>147.18999999999997</v>
      </c>
      <c r="F17" s="4">
        <v>3602</v>
      </c>
      <c r="G17" s="27">
        <v>108060</v>
      </c>
      <c r="H17" s="6">
        <v>181.80600000000004</v>
      </c>
      <c r="I17" s="14">
        <f t="shared" ref="I17:K18" si="2">C17-F17</f>
        <v>-710</v>
      </c>
      <c r="J17" s="32">
        <f t="shared" si="2"/>
        <v>-21300</v>
      </c>
      <c r="K17" s="15">
        <f t="shared" si="2"/>
        <v>-34.616000000000071</v>
      </c>
    </row>
    <row r="18" spans="2:11" ht="22.5" customHeight="1" thickBot="1">
      <c r="B18" s="16" t="s">
        <v>13</v>
      </c>
      <c r="C18" s="17">
        <v>12846</v>
      </c>
      <c r="D18" s="18">
        <v>385380</v>
      </c>
      <c r="E18" s="19">
        <v>2431.1139999999996</v>
      </c>
      <c r="F18" s="17">
        <v>26844</v>
      </c>
      <c r="G18" s="18">
        <v>805320</v>
      </c>
      <c r="H18" s="19">
        <v>3705.3420000000001</v>
      </c>
      <c r="I18" s="29">
        <f t="shared" si="2"/>
        <v>-13998</v>
      </c>
      <c r="J18" s="33">
        <f t="shared" si="2"/>
        <v>-419940</v>
      </c>
      <c r="K18" s="30">
        <f t="shared" si="2"/>
        <v>-1274.2280000000005</v>
      </c>
    </row>
    <row r="19" spans="2:11" ht="22.5" customHeight="1" thickTop="1" thickBot="1">
      <c r="B19" s="20" t="s">
        <v>14</v>
      </c>
      <c r="C19" s="21">
        <f>SUM(C16:C18)</f>
        <v>76500</v>
      </c>
      <c r="D19" s="22">
        <f t="shared" ref="D19:K19" si="3">SUM(D16:D18)</f>
        <v>2295000</v>
      </c>
      <c r="E19" s="23">
        <f t="shared" si="3"/>
        <v>15843.882000000001</v>
      </c>
      <c r="F19" s="21">
        <f>SUM(F16:F18)</f>
        <v>71088</v>
      </c>
      <c r="G19" s="22">
        <f t="shared" si="3"/>
        <v>2132640</v>
      </c>
      <c r="H19" s="23">
        <f t="shared" si="3"/>
        <v>12378.380000000001</v>
      </c>
      <c r="I19" s="21">
        <f t="shared" si="3"/>
        <v>5412</v>
      </c>
      <c r="J19" s="22">
        <f t="shared" si="3"/>
        <v>162360</v>
      </c>
      <c r="K19" s="23">
        <f t="shared" si="3"/>
        <v>3465.5020000000009</v>
      </c>
    </row>
    <row r="20" spans="2:11" ht="22.5" customHeight="1" thickTop="1">
      <c r="B20" s="26" t="s">
        <v>15</v>
      </c>
      <c r="C20" s="4">
        <v>17716</v>
      </c>
      <c r="D20" s="27">
        <v>531480</v>
      </c>
      <c r="E20" s="6">
        <v>4393.3649999999998</v>
      </c>
      <c r="F20" s="4">
        <v>20892</v>
      </c>
      <c r="G20" s="27">
        <v>626760</v>
      </c>
      <c r="H20" s="6">
        <v>3538.2960000000003</v>
      </c>
      <c r="I20" s="7">
        <f>C20-F20</f>
        <v>-3176</v>
      </c>
      <c r="J20" s="8">
        <f>D20-G20</f>
        <v>-95280</v>
      </c>
      <c r="K20" s="9">
        <f>E20-H20</f>
        <v>855.06899999999951</v>
      </c>
    </row>
    <row r="21" spans="2:11" ht="22.5" customHeight="1">
      <c r="B21" s="26" t="s">
        <v>16</v>
      </c>
      <c r="C21" s="4">
        <v>0</v>
      </c>
      <c r="D21" s="12">
        <v>0</v>
      </c>
      <c r="E21" s="6">
        <v>0</v>
      </c>
      <c r="F21" s="4">
        <v>0</v>
      </c>
      <c r="G21" s="12">
        <v>0</v>
      </c>
      <c r="H21" s="6">
        <v>0</v>
      </c>
      <c r="I21" s="14">
        <f t="shared" ref="I21:K26" si="4">C21-F21</f>
        <v>0</v>
      </c>
      <c r="J21" s="32">
        <f t="shared" si="4"/>
        <v>0</v>
      </c>
      <c r="K21" s="15">
        <f t="shared" si="4"/>
        <v>0</v>
      </c>
    </row>
    <row r="22" spans="2:11" ht="22.5" customHeight="1">
      <c r="B22" s="10" t="s">
        <v>17</v>
      </c>
      <c r="C22" s="11">
        <v>259</v>
      </c>
      <c r="D22" s="12">
        <v>7584</v>
      </c>
      <c r="E22" s="13">
        <v>48.733000000000004</v>
      </c>
      <c r="F22" s="11">
        <v>0</v>
      </c>
      <c r="G22" s="12">
        <v>0</v>
      </c>
      <c r="H22" s="13">
        <v>0</v>
      </c>
      <c r="I22" s="14">
        <f t="shared" si="4"/>
        <v>259</v>
      </c>
      <c r="J22" s="32">
        <f t="shared" si="4"/>
        <v>7584</v>
      </c>
      <c r="K22" s="15">
        <f t="shared" si="4"/>
        <v>48.733000000000004</v>
      </c>
    </row>
    <row r="23" spans="2:11" ht="22.5" customHeight="1">
      <c r="B23" s="10" t="s">
        <v>18</v>
      </c>
      <c r="C23" s="11">
        <v>0</v>
      </c>
      <c r="D23" s="12">
        <v>0</v>
      </c>
      <c r="E23" s="13">
        <v>0</v>
      </c>
      <c r="F23" s="11">
        <v>428</v>
      </c>
      <c r="G23" s="12">
        <v>12840</v>
      </c>
      <c r="H23" s="13">
        <v>108.233</v>
      </c>
      <c r="I23" s="14">
        <f t="shared" si="4"/>
        <v>-428</v>
      </c>
      <c r="J23" s="32">
        <f t="shared" si="4"/>
        <v>-12840</v>
      </c>
      <c r="K23" s="15">
        <f t="shared" si="4"/>
        <v>-108.233</v>
      </c>
    </row>
    <row r="24" spans="2:11" ht="22.5" customHeight="1">
      <c r="B24" s="10" t="s">
        <v>19</v>
      </c>
      <c r="C24" s="11">
        <v>0</v>
      </c>
      <c r="D24" s="12">
        <v>0</v>
      </c>
      <c r="E24" s="13">
        <v>0</v>
      </c>
      <c r="F24" s="11">
        <v>0</v>
      </c>
      <c r="G24" s="12">
        <v>0</v>
      </c>
      <c r="H24" s="13">
        <v>0</v>
      </c>
      <c r="I24" s="14">
        <f t="shared" si="4"/>
        <v>0</v>
      </c>
      <c r="J24" s="32">
        <f t="shared" si="4"/>
        <v>0</v>
      </c>
      <c r="K24" s="15">
        <f t="shared" si="4"/>
        <v>0</v>
      </c>
    </row>
    <row r="25" spans="2:11" ht="22.5" customHeight="1">
      <c r="B25" s="10" t="s">
        <v>20</v>
      </c>
      <c r="C25" s="11">
        <v>164</v>
      </c>
      <c r="D25" s="12">
        <v>3936</v>
      </c>
      <c r="E25" s="13">
        <v>28.785</v>
      </c>
      <c r="F25" s="11">
        <v>243</v>
      </c>
      <c r="G25" s="12">
        <v>5832</v>
      </c>
      <c r="H25" s="13">
        <v>47.2</v>
      </c>
      <c r="I25" s="14">
        <f t="shared" si="4"/>
        <v>-79</v>
      </c>
      <c r="J25" s="32">
        <f t="shared" si="4"/>
        <v>-1896</v>
      </c>
      <c r="K25" s="15">
        <f t="shared" si="4"/>
        <v>-18.415000000000003</v>
      </c>
    </row>
    <row r="26" spans="2:11" ht="22.5" customHeight="1" thickBot="1">
      <c r="B26" s="28" t="s">
        <v>21</v>
      </c>
      <c r="C26" s="17">
        <v>2558</v>
      </c>
      <c r="D26" s="18">
        <v>61392</v>
      </c>
      <c r="E26" s="19">
        <v>442.19999999999993</v>
      </c>
      <c r="F26" s="17">
        <v>2657</v>
      </c>
      <c r="G26" s="18">
        <v>63768</v>
      </c>
      <c r="H26" s="19">
        <v>344.04</v>
      </c>
      <c r="I26" s="29">
        <f>C26-F26</f>
        <v>-99</v>
      </c>
      <c r="J26" s="33">
        <f t="shared" si="4"/>
        <v>-2376</v>
      </c>
      <c r="K26" s="30">
        <f t="shared" si="4"/>
        <v>98.159999999999911</v>
      </c>
    </row>
    <row r="27" spans="2:11" ht="22.5" customHeight="1" thickTop="1" thickBot="1">
      <c r="B27" s="20" t="s">
        <v>22</v>
      </c>
      <c r="C27" s="24">
        <f>SUM(C9:C14,C16:C18,C20:C26)</f>
        <v>152556</v>
      </c>
      <c r="D27" s="24">
        <f t="shared" ref="D27:H27" si="5">SUM(D9:D14,D16:D18,D20:D26)</f>
        <v>4558970.0999999996</v>
      </c>
      <c r="E27" s="25">
        <f>SUM(E9:E14,E16:E18,E20:E26)</f>
        <v>28077.538999999997</v>
      </c>
      <c r="F27" s="24">
        <f t="shared" si="5"/>
        <v>157440</v>
      </c>
      <c r="G27" s="24">
        <f t="shared" si="5"/>
        <v>4699123.08</v>
      </c>
      <c r="H27" s="25">
        <f t="shared" si="5"/>
        <v>23333.258000000005</v>
      </c>
      <c r="I27" s="24">
        <f>SUM(I9:I14,I16:I18,I20:I26)</f>
        <v>-4884</v>
      </c>
      <c r="J27" s="24">
        <f>SUM(J9:J14,J16:J18,J20:J26)</f>
        <v>-140152.97999999998</v>
      </c>
      <c r="K27" s="25">
        <f>SUM(K9:K14,K16:K18,K20:K26)</f>
        <v>4744.2809999999999</v>
      </c>
    </row>
    <row r="28" spans="2:11" ht="22.5" customHeight="1" thickTop="1" thickBot="1">
      <c r="B28" s="20" t="s">
        <v>23</v>
      </c>
      <c r="C28" s="24" t="s">
        <v>24</v>
      </c>
      <c r="D28" s="24" t="s">
        <v>24</v>
      </c>
      <c r="E28" s="25">
        <v>28417.292000000001</v>
      </c>
      <c r="F28" s="24" t="s">
        <v>24</v>
      </c>
      <c r="G28" s="24" t="s">
        <v>24</v>
      </c>
      <c r="H28" s="25">
        <v>24655.63</v>
      </c>
      <c r="I28" s="24" t="s">
        <v>24</v>
      </c>
      <c r="J28" s="24" t="s">
        <v>24</v>
      </c>
      <c r="K28" s="25">
        <f>E28-H28</f>
        <v>3761.6620000000003</v>
      </c>
    </row>
    <row r="29" spans="2:11" ht="22.5" customHeight="1" thickTop="1" thickBot="1">
      <c r="B29" s="20" t="s">
        <v>25</v>
      </c>
      <c r="C29" s="24" t="s">
        <v>24</v>
      </c>
      <c r="D29" s="24" t="s">
        <v>24</v>
      </c>
      <c r="E29" s="25">
        <f>E27-E28</f>
        <v>-339.75300000000425</v>
      </c>
      <c r="F29" s="24" t="s">
        <v>24</v>
      </c>
      <c r="G29" s="24" t="s">
        <v>24</v>
      </c>
      <c r="H29" s="25">
        <f>H27-H28</f>
        <v>-1322.3719999999958</v>
      </c>
      <c r="I29" s="24" t="s">
        <v>24</v>
      </c>
      <c r="J29" s="24" t="s">
        <v>24</v>
      </c>
      <c r="K29" s="25" t="s">
        <v>24</v>
      </c>
    </row>
    <row r="30" spans="2:11" ht="22.5" customHeight="1" thickTop="1" thickBot="1">
      <c r="B30" s="20" t="s">
        <v>26</v>
      </c>
      <c r="C30" s="24" t="s">
        <v>24</v>
      </c>
      <c r="D30" s="24" t="s">
        <v>24</v>
      </c>
      <c r="E30" s="31">
        <f>E29/E28</f>
        <v>-1.1955854203138154E-2</v>
      </c>
      <c r="F30" s="24" t="s">
        <v>24</v>
      </c>
      <c r="G30" s="24" t="s">
        <v>24</v>
      </c>
      <c r="H30" s="31">
        <f>H29/H28</f>
        <v>-5.3633673120500096E-2</v>
      </c>
      <c r="I30" s="24" t="s">
        <v>24</v>
      </c>
      <c r="J30" s="24" t="s">
        <v>24</v>
      </c>
      <c r="K30" s="34" t="s">
        <v>24</v>
      </c>
    </row>
    <row r="31" spans="2:11" ht="15.75" thickTop="1"/>
    <row r="36" spans="5:8">
      <c r="E36" s="39"/>
      <c r="H36" s="39"/>
    </row>
  </sheetData>
  <mergeCells count="8">
    <mergeCell ref="B3:K3"/>
    <mergeCell ref="B4:K4"/>
    <mergeCell ref="J5:K5"/>
    <mergeCell ref="J6:K6"/>
    <mergeCell ref="B7:B8"/>
    <mergeCell ref="C7:E7"/>
    <mergeCell ref="F7:H7"/>
    <mergeCell ref="I7:K7"/>
  </mergeCells>
  <pageMargins left="0.38" right="0.23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K36"/>
  <sheetViews>
    <sheetView showGridLines="0" workbookViewId="0">
      <selection activeCell="B1" sqref="B1"/>
    </sheetView>
  </sheetViews>
  <sheetFormatPr defaultRowHeight="15"/>
  <cols>
    <col min="1" max="1" width="2.28515625" customWidth="1"/>
    <col min="2" max="2" width="19.140625" bestFit="1" customWidth="1"/>
    <col min="3" max="3" width="7.42578125" bestFit="1" customWidth="1"/>
    <col min="4" max="4" width="8.85546875" bestFit="1" customWidth="1"/>
    <col min="5" max="5" width="9.85546875" bestFit="1" customWidth="1"/>
    <col min="6" max="6" width="7.42578125" bestFit="1" customWidth="1"/>
    <col min="7" max="7" width="8.85546875" bestFit="1" customWidth="1"/>
    <col min="8" max="8" width="9.85546875" bestFit="1" customWidth="1"/>
    <col min="9" max="9" width="7" bestFit="1" customWidth="1"/>
    <col min="10" max="11" width="9.42578125" bestFit="1" customWidth="1"/>
    <col min="12" max="12" width="3.140625" customWidth="1"/>
  </cols>
  <sheetData>
    <row r="3" spans="2:11">
      <c r="B3" s="56" t="s">
        <v>33</v>
      </c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7" t="s">
        <v>27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15.75">
      <c r="B5" s="36"/>
      <c r="C5" s="36"/>
      <c r="D5" s="36"/>
      <c r="E5" s="36"/>
      <c r="F5" s="36"/>
      <c r="G5" s="36"/>
      <c r="H5" s="36"/>
      <c r="I5" s="36"/>
      <c r="J5" s="58" t="s">
        <v>28</v>
      </c>
      <c r="K5" s="58"/>
    </row>
    <row r="6" spans="2:11" ht="14.25" customHeight="1" thickBot="1">
      <c r="B6" s="35"/>
      <c r="C6" s="35"/>
      <c r="D6" s="35"/>
      <c r="E6" s="35"/>
      <c r="F6" s="35"/>
      <c r="G6" s="35"/>
      <c r="H6" s="35"/>
      <c r="I6" s="35"/>
      <c r="J6" s="59" t="s">
        <v>29</v>
      </c>
      <c r="K6" s="59"/>
    </row>
    <row r="7" spans="2:11" ht="30.75" customHeight="1" thickTop="1" thickBot="1">
      <c r="B7" s="60" t="s">
        <v>0</v>
      </c>
      <c r="C7" s="61" t="s">
        <v>34</v>
      </c>
      <c r="D7" s="60"/>
      <c r="E7" s="60"/>
      <c r="F7" s="62" t="s">
        <v>35</v>
      </c>
      <c r="G7" s="63"/>
      <c r="H7" s="63"/>
      <c r="I7" s="61" t="s">
        <v>25</v>
      </c>
      <c r="J7" s="60"/>
      <c r="K7" s="60"/>
    </row>
    <row r="8" spans="2:11" ht="27" thickTop="1" thickBot="1">
      <c r="B8" s="60"/>
      <c r="C8" s="38" t="s">
        <v>1</v>
      </c>
      <c r="D8" s="37" t="s">
        <v>2</v>
      </c>
      <c r="E8" s="37" t="s">
        <v>3</v>
      </c>
      <c r="F8" s="38" t="s">
        <v>1</v>
      </c>
      <c r="G8" s="37" t="s">
        <v>2</v>
      </c>
      <c r="H8" s="37" t="s">
        <v>3</v>
      </c>
      <c r="I8" s="38" t="s">
        <v>1</v>
      </c>
      <c r="J8" s="37" t="s">
        <v>2</v>
      </c>
      <c r="K8" s="37" t="s">
        <v>3</v>
      </c>
    </row>
    <row r="9" spans="2:11" ht="22.5" customHeight="1" thickTop="1">
      <c r="B9" s="3" t="s">
        <v>4</v>
      </c>
      <c r="C9" s="4">
        <v>30</v>
      </c>
      <c r="D9" s="5">
        <v>763.9</v>
      </c>
      <c r="E9" s="6">
        <v>3.6989999999999998</v>
      </c>
      <c r="F9" s="4">
        <v>120</v>
      </c>
      <c r="G9" s="5">
        <v>2402.9</v>
      </c>
      <c r="H9" s="6">
        <v>12.148999999999999</v>
      </c>
      <c r="I9" s="7">
        <f>C9-F9</f>
        <v>-90</v>
      </c>
      <c r="J9" s="8">
        <f>D9-G9</f>
        <v>-1639</v>
      </c>
      <c r="K9" s="9">
        <f>E9-H9</f>
        <v>-8.4499999999999993</v>
      </c>
    </row>
    <row r="10" spans="2:11" ht="22.5" customHeight="1">
      <c r="B10" s="10" t="s">
        <v>5</v>
      </c>
      <c r="C10" s="11">
        <v>1436</v>
      </c>
      <c r="D10" s="12">
        <v>42044</v>
      </c>
      <c r="E10" s="13">
        <v>154.88800000000001</v>
      </c>
      <c r="F10" s="11">
        <v>2469</v>
      </c>
      <c r="G10" s="12">
        <v>69740</v>
      </c>
      <c r="H10" s="13">
        <v>240.22899999999998</v>
      </c>
      <c r="I10" s="14">
        <f t="shared" ref="I10:K14" si="0">C10-F10</f>
        <v>-1033</v>
      </c>
      <c r="J10" s="32">
        <f t="shared" si="0"/>
        <v>-27696</v>
      </c>
      <c r="K10" s="15">
        <f t="shared" si="0"/>
        <v>-85.34099999999998</v>
      </c>
    </row>
    <row r="11" spans="2:11" ht="22.5" customHeight="1">
      <c r="B11" s="10" t="s">
        <v>6</v>
      </c>
      <c r="C11" s="11">
        <v>12410</v>
      </c>
      <c r="D11" s="12">
        <v>372300</v>
      </c>
      <c r="E11" s="13">
        <v>1581.5719999999999</v>
      </c>
      <c r="F11" s="11">
        <v>14246</v>
      </c>
      <c r="G11" s="12">
        <v>427380</v>
      </c>
      <c r="H11" s="13">
        <v>1510.8029999999999</v>
      </c>
      <c r="I11" s="14">
        <f t="shared" si="0"/>
        <v>-1836</v>
      </c>
      <c r="J11" s="32">
        <f t="shared" si="0"/>
        <v>-55080</v>
      </c>
      <c r="K11" s="15">
        <f t="shared" si="0"/>
        <v>70.769000000000005</v>
      </c>
    </row>
    <row r="12" spans="2:11" ht="22.5" customHeight="1">
      <c r="B12" s="10" t="s">
        <v>7</v>
      </c>
      <c r="C12" s="11">
        <v>0</v>
      </c>
      <c r="D12" s="12">
        <v>0</v>
      </c>
      <c r="E12" s="13">
        <v>0</v>
      </c>
      <c r="F12" s="11">
        <v>0</v>
      </c>
      <c r="G12" s="12">
        <v>0</v>
      </c>
      <c r="H12" s="13">
        <v>0</v>
      </c>
      <c r="I12" s="14">
        <f t="shared" si="0"/>
        <v>0</v>
      </c>
      <c r="J12" s="32">
        <f t="shared" si="0"/>
        <v>0</v>
      </c>
      <c r="K12" s="15">
        <f t="shared" si="0"/>
        <v>0</v>
      </c>
    </row>
    <row r="13" spans="2:11" ht="22.5" customHeight="1">
      <c r="B13" s="10" t="s">
        <v>8</v>
      </c>
      <c r="C13" s="11">
        <v>744</v>
      </c>
      <c r="D13" s="12">
        <v>22320</v>
      </c>
      <c r="E13" s="13">
        <v>78.978999999999999</v>
      </c>
      <c r="F13" s="11">
        <v>254</v>
      </c>
      <c r="G13" s="12">
        <v>7620</v>
      </c>
      <c r="H13" s="13">
        <v>30.112000000000002</v>
      </c>
      <c r="I13" s="14">
        <f t="shared" si="0"/>
        <v>490</v>
      </c>
      <c r="J13" s="32">
        <f t="shared" si="0"/>
        <v>14700</v>
      </c>
      <c r="K13" s="15">
        <f t="shared" si="0"/>
        <v>48.866999999999997</v>
      </c>
    </row>
    <row r="14" spans="2:11" ht="22.5" customHeight="1" thickBot="1">
      <c r="B14" s="16" t="s">
        <v>9</v>
      </c>
      <c r="C14" s="17">
        <v>37415</v>
      </c>
      <c r="D14" s="18">
        <v>1122450</v>
      </c>
      <c r="E14" s="19">
        <v>4973.7969999999996</v>
      </c>
      <c r="F14" s="17">
        <v>38728</v>
      </c>
      <c r="G14" s="18">
        <v>1161840</v>
      </c>
      <c r="H14" s="19">
        <v>4427.009</v>
      </c>
      <c r="I14" s="29">
        <f t="shared" si="0"/>
        <v>-1313</v>
      </c>
      <c r="J14" s="33">
        <f t="shared" si="0"/>
        <v>-39390</v>
      </c>
      <c r="K14" s="30">
        <f t="shared" si="0"/>
        <v>546.78799999999956</v>
      </c>
    </row>
    <row r="15" spans="2:11" ht="22.5" customHeight="1" thickTop="1" thickBot="1">
      <c r="B15" s="20" t="s">
        <v>10</v>
      </c>
      <c r="C15" s="21">
        <f t="shared" ref="C15:J15" si="1">SUM(C12:C14)</f>
        <v>38159</v>
      </c>
      <c r="D15" s="22">
        <f t="shared" si="1"/>
        <v>1144770</v>
      </c>
      <c r="E15" s="23">
        <f t="shared" si="1"/>
        <v>5052.7759999999998</v>
      </c>
      <c r="F15" s="21">
        <f t="shared" si="1"/>
        <v>38982</v>
      </c>
      <c r="G15" s="22">
        <f t="shared" si="1"/>
        <v>1169460</v>
      </c>
      <c r="H15" s="23">
        <f t="shared" si="1"/>
        <v>4457.1210000000001</v>
      </c>
      <c r="I15" s="21">
        <f>SUM(I12:I14)</f>
        <v>-823</v>
      </c>
      <c r="J15" s="22">
        <f t="shared" si="1"/>
        <v>-24690</v>
      </c>
      <c r="K15" s="23">
        <f>SUM(K12:K14)</f>
        <v>595.65499999999952</v>
      </c>
    </row>
    <row r="16" spans="2:11" ht="22.5" customHeight="1" thickTop="1">
      <c r="B16" s="26" t="s">
        <v>11</v>
      </c>
      <c r="C16" s="4">
        <v>51592</v>
      </c>
      <c r="D16" s="27">
        <v>1547760</v>
      </c>
      <c r="E16" s="6">
        <v>11100.958000000001</v>
      </c>
      <c r="F16" s="4">
        <v>35382</v>
      </c>
      <c r="G16" s="27">
        <v>1061460</v>
      </c>
      <c r="H16" s="6">
        <v>7390.9120000000003</v>
      </c>
      <c r="I16" s="7">
        <f>C16-F16</f>
        <v>16210</v>
      </c>
      <c r="J16" s="8">
        <f>D16-G16</f>
        <v>486300</v>
      </c>
      <c r="K16" s="9">
        <f>E16-H16</f>
        <v>3710.0460000000003</v>
      </c>
    </row>
    <row r="17" spans="2:11" ht="22.5" customHeight="1">
      <c r="B17" s="26" t="s">
        <v>12</v>
      </c>
      <c r="C17" s="4">
        <v>2822</v>
      </c>
      <c r="D17" s="27">
        <v>84660</v>
      </c>
      <c r="E17" s="6">
        <v>143.47199999999998</v>
      </c>
      <c r="F17" s="4">
        <v>2528</v>
      </c>
      <c r="G17" s="27">
        <v>75840</v>
      </c>
      <c r="H17" s="6">
        <v>129.10600000000002</v>
      </c>
      <c r="I17" s="14">
        <f t="shared" ref="I17:K18" si="2">C17-F17</f>
        <v>294</v>
      </c>
      <c r="J17" s="32">
        <f t="shared" si="2"/>
        <v>8820</v>
      </c>
      <c r="K17" s="15">
        <f t="shared" si="2"/>
        <v>14.365999999999957</v>
      </c>
    </row>
    <row r="18" spans="2:11" ht="22.5" customHeight="1" thickBot="1">
      <c r="B18" s="16" t="s">
        <v>13</v>
      </c>
      <c r="C18" s="17">
        <v>11368</v>
      </c>
      <c r="D18" s="18">
        <v>341040</v>
      </c>
      <c r="E18" s="19">
        <v>2054.3469999999998</v>
      </c>
      <c r="F18" s="17">
        <v>25242</v>
      </c>
      <c r="G18" s="18">
        <v>757260</v>
      </c>
      <c r="H18" s="19">
        <v>3478.5770000000002</v>
      </c>
      <c r="I18" s="29">
        <f t="shared" si="2"/>
        <v>-13874</v>
      </c>
      <c r="J18" s="33">
        <f t="shared" si="2"/>
        <v>-416220</v>
      </c>
      <c r="K18" s="30">
        <f t="shared" si="2"/>
        <v>-1424.2300000000005</v>
      </c>
    </row>
    <row r="19" spans="2:11" ht="22.5" customHeight="1" thickTop="1" thickBot="1">
      <c r="B19" s="20" t="s">
        <v>14</v>
      </c>
      <c r="C19" s="21">
        <f>SUM(C16:C18)</f>
        <v>65782</v>
      </c>
      <c r="D19" s="22">
        <f t="shared" ref="D19:K19" si="3">SUM(D16:D18)</f>
        <v>1973460</v>
      </c>
      <c r="E19" s="23">
        <f t="shared" si="3"/>
        <v>13298.777</v>
      </c>
      <c r="F19" s="21">
        <f>SUM(F16:F18)</f>
        <v>63152</v>
      </c>
      <c r="G19" s="22">
        <f t="shared" si="3"/>
        <v>1894560</v>
      </c>
      <c r="H19" s="23">
        <f t="shared" si="3"/>
        <v>10998.595000000001</v>
      </c>
      <c r="I19" s="21">
        <f t="shared" si="3"/>
        <v>2630</v>
      </c>
      <c r="J19" s="22">
        <f t="shared" si="3"/>
        <v>78900</v>
      </c>
      <c r="K19" s="23">
        <f t="shared" si="3"/>
        <v>2300.1819999999998</v>
      </c>
    </row>
    <row r="20" spans="2:11" ht="22.5" customHeight="1" thickTop="1">
      <c r="B20" s="26" t="s">
        <v>15</v>
      </c>
      <c r="C20" s="4">
        <v>15974</v>
      </c>
      <c r="D20" s="27">
        <v>479220</v>
      </c>
      <c r="E20" s="6">
        <v>3894.0929999999998</v>
      </c>
      <c r="F20" s="4">
        <v>19084</v>
      </c>
      <c r="G20" s="27">
        <v>572520</v>
      </c>
      <c r="H20" s="6">
        <v>3229.4420000000005</v>
      </c>
      <c r="I20" s="7">
        <f>C20-F20</f>
        <v>-3110</v>
      </c>
      <c r="J20" s="8">
        <f>D20-G20</f>
        <v>-93300</v>
      </c>
      <c r="K20" s="9">
        <f>E20-H20</f>
        <v>664.65099999999939</v>
      </c>
    </row>
    <row r="21" spans="2:11" ht="22.5" customHeight="1">
      <c r="B21" s="26" t="s">
        <v>16</v>
      </c>
      <c r="C21" s="4">
        <v>0</v>
      </c>
      <c r="D21" s="12">
        <v>0</v>
      </c>
      <c r="E21" s="6">
        <v>0</v>
      </c>
      <c r="F21" s="4">
        <v>0</v>
      </c>
      <c r="G21" s="12">
        <v>0</v>
      </c>
      <c r="H21" s="6">
        <v>0</v>
      </c>
      <c r="I21" s="14">
        <f t="shared" ref="I21:K26" si="4">C21-F21</f>
        <v>0</v>
      </c>
      <c r="J21" s="32">
        <f t="shared" si="4"/>
        <v>0</v>
      </c>
      <c r="K21" s="15">
        <f t="shared" si="4"/>
        <v>0</v>
      </c>
    </row>
    <row r="22" spans="2:11" ht="22.5" customHeight="1">
      <c r="B22" s="10" t="s">
        <v>17</v>
      </c>
      <c r="C22" s="11">
        <v>217</v>
      </c>
      <c r="D22" s="12">
        <v>6324</v>
      </c>
      <c r="E22" s="13">
        <v>41.06</v>
      </c>
      <c r="F22" s="11">
        <v>0</v>
      </c>
      <c r="G22" s="12">
        <v>0</v>
      </c>
      <c r="H22" s="13">
        <v>0</v>
      </c>
      <c r="I22" s="14">
        <f t="shared" si="4"/>
        <v>217</v>
      </c>
      <c r="J22" s="32">
        <f t="shared" si="4"/>
        <v>6324</v>
      </c>
      <c r="K22" s="15">
        <f t="shared" si="4"/>
        <v>41.06</v>
      </c>
    </row>
    <row r="23" spans="2:11" ht="22.5" customHeight="1">
      <c r="B23" s="10" t="s">
        <v>18</v>
      </c>
      <c r="C23" s="11">
        <v>0</v>
      </c>
      <c r="D23" s="12">
        <v>0</v>
      </c>
      <c r="E23" s="13">
        <v>0</v>
      </c>
      <c r="F23" s="11">
        <v>428</v>
      </c>
      <c r="G23" s="12">
        <v>12840</v>
      </c>
      <c r="H23" s="13">
        <v>108.233</v>
      </c>
      <c r="I23" s="14">
        <f t="shared" si="4"/>
        <v>-428</v>
      </c>
      <c r="J23" s="32">
        <f t="shared" si="4"/>
        <v>-12840</v>
      </c>
      <c r="K23" s="15">
        <f t="shared" si="4"/>
        <v>-108.233</v>
      </c>
    </row>
    <row r="24" spans="2:11" ht="22.5" customHeight="1">
      <c r="B24" s="10" t="s">
        <v>19</v>
      </c>
      <c r="C24" s="11">
        <v>0</v>
      </c>
      <c r="D24" s="12">
        <v>0</v>
      </c>
      <c r="E24" s="13">
        <v>0</v>
      </c>
      <c r="F24" s="11">
        <v>0</v>
      </c>
      <c r="G24" s="12">
        <v>0</v>
      </c>
      <c r="H24" s="13">
        <v>0</v>
      </c>
      <c r="I24" s="14">
        <f t="shared" si="4"/>
        <v>0</v>
      </c>
      <c r="J24" s="32">
        <f t="shared" si="4"/>
        <v>0</v>
      </c>
      <c r="K24" s="15">
        <f t="shared" si="4"/>
        <v>0</v>
      </c>
    </row>
    <row r="25" spans="2:11" ht="22.5" customHeight="1">
      <c r="B25" s="10" t="s">
        <v>20</v>
      </c>
      <c r="C25" s="11">
        <v>162</v>
      </c>
      <c r="D25" s="12">
        <v>3888</v>
      </c>
      <c r="E25" s="13">
        <v>28.436</v>
      </c>
      <c r="F25" s="11">
        <v>234</v>
      </c>
      <c r="G25" s="12">
        <v>5616</v>
      </c>
      <c r="H25" s="13">
        <v>45.354000000000006</v>
      </c>
      <c r="I25" s="14">
        <f t="shared" si="4"/>
        <v>-72</v>
      </c>
      <c r="J25" s="32">
        <f t="shared" si="4"/>
        <v>-1728</v>
      </c>
      <c r="K25" s="15">
        <f t="shared" si="4"/>
        <v>-16.918000000000006</v>
      </c>
    </row>
    <row r="26" spans="2:11" ht="22.5" customHeight="1" thickBot="1">
      <c r="B26" s="28" t="s">
        <v>21</v>
      </c>
      <c r="C26" s="17">
        <v>2246</v>
      </c>
      <c r="D26" s="18">
        <v>53904</v>
      </c>
      <c r="E26" s="19">
        <v>359.10499999999996</v>
      </c>
      <c r="F26" s="17">
        <v>2468</v>
      </c>
      <c r="G26" s="18">
        <v>59232</v>
      </c>
      <c r="H26" s="19">
        <v>320.00400000000002</v>
      </c>
      <c r="I26" s="29">
        <f>C26-F26</f>
        <v>-222</v>
      </c>
      <c r="J26" s="33">
        <f t="shared" si="4"/>
        <v>-5328</v>
      </c>
      <c r="K26" s="30">
        <f t="shared" si="4"/>
        <v>39.100999999999942</v>
      </c>
    </row>
    <row r="27" spans="2:11" ht="22.5" customHeight="1" thickTop="1" thickBot="1">
      <c r="B27" s="20" t="s">
        <v>22</v>
      </c>
      <c r="C27" s="24">
        <f>SUM(C9:C14,C16:C18,C20:C26)</f>
        <v>136416</v>
      </c>
      <c r="D27" s="24">
        <f t="shared" ref="D27:H27" si="5">SUM(D9:D14,D16:D18,D20:D26)</f>
        <v>4076673.9</v>
      </c>
      <c r="E27" s="25">
        <f>SUM(E9:E14,E16:E18,E20:E26)</f>
        <v>24414.406000000003</v>
      </c>
      <c r="F27" s="24">
        <f t="shared" si="5"/>
        <v>141183</v>
      </c>
      <c r="G27" s="24">
        <f t="shared" si="5"/>
        <v>4213750.9000000004</v>
      </c>
      <c r="H27" s="25">
        <f t="shared" si="5"/>
        <v>20921.93</v>
      </c>
      <c r="I27" s="24">
        <f>SUM(I9:I14,I16:I18,I20:I26)</f>
        <v>-4767</v>
      </c>
      <c r="J27" s="24">
        <f>SUM(J9:J14,J16:J18,J20:J26)</f>
        <v>-137077</v>
      </c>
      <c r="K27" s="25">
        <f>SUM(K9:K14,K16:K18,K20:K26)</f>
        <v>3492.4759999999987</v>
      </c>
    </row>
    <row r="28" spans="2:11" ht="22.5" customHeight="1" thickTop="1" thickBot="1">
      <c r="B28" s="20" t="s">
        <v>23</v>
      </c>
      <c r="C28" s="24" t="s">
        <v>24</v>
      </c>
      <c r="D28" s="24" t="s">
        <v>24</v>
      </c>
      <c r="E28" s="25">
        <v>25612.954000000002</v>
      </c>
      <c r="F28" s="24" t="s">
        <v>24</v>
      </c>
      <c r="G28" s="24" t="s">
        <v>24</v>
      </c>
      <c r="H28" s="25">
        <v>21740.311000000002</v>
      </c>
      <c r="I28" s="24" t="s">
        <v>24</v>
      </c>
      <c r="J28" s="24" t="s">
        <v>24</v>
      </c>
      <c r="K28" s="25">
        <f>E28-H28</f>
        <v>3872.643</v>
      </c>
    </row>
    <row r="29" spans="2:11" ht="22.5" customHeight="1" thickTop="1" thickBot="1">
      <c r="B29" s="20" t="s">
        <v>25</v>
      </c>
      <c r="C29" s="24" t="s">
        <v>24</v>
      </c>
      <c r="D29" s="24" t="s">
        <v>24</v>
      </c>
      <c r="E29" s="25">
        <f>E27-E28</f>
        <v>-1198.5479999999989</v>
      </c>
      <c r="F29" s="24" t="s">
        <v>24</v>
      </c>
      <c r="G29" s="24" t="s">
        <v>24</v>
      </c>
      <c r="H29" s="25">
        <f>H27-H28</f>
        <v>-818.38100000000122</v>
      </c>
      <c r="I29" s="24" t="s">
        <v>24</v>
      </c>
      <c r="J29" s="24" t="s">
        <v>24</v>
      </c>
      <c r="K29" s="25" t="s">
        <v>24</v>
      </c>
    </row>
    <row r="30" spans="2:11" ht="22.5" customHeight="1" thickTop="1" thickBot="1">
      <c r="B30" s="20" t="s">
        <v>26</v>
      </c>
      <c r="C30" s="24" t="s">
        <v>24</v>
      </c>
      <c r="D30" s="24" t="s">
        <v>24</v>
      </c>
      <c r="E30" s="31">
        <f>E29/E28</f>
        <v>-4.6794602449994595E-2</v>
      </c>
      <c r="F30" s="24" t="s">
        <v>24</v>
      </c>
      <c r="G30" s="24" t="s">
        <v>24</v>
      </c>
      <c r="H30" s="31">
        <f>H29/H28</f>
        <v>-3.7643481733081054E-2</v>
      </c>
      <c r="I30" s="24" t="s">
        <v>24</v>
      </c>
      <c r="J30" s="24" t="s">
        <v>24</v>
      </c>
      <c r="K30" s="34" t="s">
        <v>24</v>
      </c>
    </row>
    <row r="31" spans="2:11" ht="15.75" thickTop="1"/>
    <row r="36" spans="5:8">
      <c r="E36" s="39"/>
      <c r="H36" s="39"/>
    </row>
  </sheetData>
  <mergeCells count="8">
    <mergeCell ref="B3:K3"/>
    <mergeCell ref="B4:K4"/>
    <mergeCell ref="J5:K5"/>
    <mergeCell ref="J6:K6"/>
    <mergeCell ref="B7:B8"/>
    <mergeCell ref="C7:E7"/>
    <mergeCell ref="F7:H7"/>
    <mergeCell ref="I7:K7"/>
  </mergeCells>
  <pageMargins left="0.38" right="0.23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K36"/>
  <sheetViews>
    <sheetView showGridLines="0" topLeftCell="A4" workbookViewId="0">
      <selection activeCell="H32" sqref="H32"/>
    </sheetView>
  </sheetViews>
  <sheetFormatPr defaultRowHeight="15"/>
  <cols>
    <col min="1" max="1" width="2.28515625" customWidth="1"/>
    <col min="2" max="2" width="19.140625" bestFit="1" customWidth="1"/>
    <col min="3" max="3" width="7.42578125" bestFit="1" customWidth="1"/>
    <col min="4" max="4" width="8.85546875" bestFit="1" customWidth="1"/>
    <col min="5" max="5" width="9.85546875" bestFit="1" customWidth="1"/>
    <col min="6" max="6" width="7.42578125" bestFit="1" customWidth="1"/>
    <col min="7" max="7" width="8.85546875" bestFit="1" customWidth="1"/>
    <col min="8" max="8" width="9.85546875" bestFit="1" customWidth="1"/>
    <col min="9" max="9" width="7" bestFit="1" customWidth="1"/>
    <col min="10" max="11" width="9.42578125" bestFit="1" customWidth="1"/>
    <col min="12" max="12" width="3.140625" customWidth="1"/>
  </cols>
  <sheetData>
    <row r="3" spans="2:11">
      <c r="B3" s="56" t="s">
        <v>30</v>
      </c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7" t="s">
        <v>27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15.75">
      <c r="B5" s="36"/>
      <c r="C5" s="36"/>
      <c r="D5" s="36"/>
      <c r="E5" s="36"/>
      <c r="F5" s="36"/>
      <c r="G5" s="36"/>
      <c r="H5" s="36"/>
      <c r="I5" s="36"/>
      <c r="J5" s="58" t="s">
        <v>28</v>
      </c>
      <c r="K5" s="58"/>
    </row>
    <row r="6" spans="2:11" ht="14.25" customHeight="1" thickBot="1">
      <c r="B6" s="35"/>
      <c r="C6" s="35"/>
      <c r="D6" s="35"/>
      <c r="E6" s="35"/>
      <c r="F6" s="35"/>
      <c r="G6" s="35"/>
      <c r="H6" s="35"/>
      <c r="I6" s="35"/>
      <c r="J6" s="59" t="s">
        <v>29</v>
      </c>
      <c r="K6" s="59"/>
    </row>
    <row r="7" spans="2:11" ht="30.75" customHeight="1" thickTop="1" thickBot="1">
      <c r="B7" s="60" t="s">
        <v>0</v>
      </c>
      <c r="C7" s="61" t="s">
        <v>32</v>
      </c>
      <c r="D7" s="60"/>
      <c r="E7" s="60"/>
      <c r="F7" s="62" t="s">
        <v>31</v>
      </c>
      <c r="G7" s="63"/>
      <c r="H7" s="63"/>
      <c r="I7" s="61" t="s">
        <v>25</v>
      </c>
      <c r="J7" s="60"/>
      <c r="K7" s="60"/>
    </row>
    <row r="8" spans="2:11" ht="27" thickTop="1" thickBot="1">
      <c r="B8" s="60"/>
      <c r="C8" s="1" t="s">
        <v>1</v>
      </c>
      <c r="D8" s="2" t="s">
        <v>2</v>
      </c>
      <c r="E8" s="2" t="s">
        <v>3</v>
      </c>
      <c r="F8" s="1" t="s">
        <v>1</v>
      </c>
      <c r="G8" s="2" t="s">
        <v>2</v>
      </c>
      <c r="H8" s="2" t="s">
        <v>3</v>
      </c>
      <c r="I8" s="1" t="s">
        <v>1</v>
      </c>
      <c r="J8" s="2" t="s">
        <v>2</v>
      </c>
      <c r="K8" s="2" t="s">
        <v>3</v>
      </c>
    </row>
    <row r="9" spans="2:11" ht="22.5" customHeight="1" thickTop="1">
      <c r="B9" s="3" t="s">
        <v>4</v>
      </c>
      <c r="C9" s="4">
        <v>30</v>
      </c>
      <c r="D9" s="5">
        <v>763.9</v>
      </c>
      <c r="E9" s="6">
        <v>3.6989999999999998</v>
      </c>
      <c r="F9" s="4">
        <v>116</v>
      </c>
      <c r="G9" s="5">
        <v>2322.54</v>
      </c>
      <c r="H9" s="6">
        <v>11.741</v>
      </c>
      <c r="I9" s="7">
        <f>C9-F9</f>
        <v>-86</v>
      </c>
      <c r="J9" s="8">
        <f>D9-G9</f>
        <v>-1558.6399999999999</v>
      </c>
      <c r="K9" s="9">
        <f>E9-H9</f>
        <v>-8.0419999999999998</v>
      </c>
    </row>
    <row r="10" spans="2:11" ht="22.5" customHeight="1">
      <c r="B10" s="10" t="s">
        <v>5</v>
      </c>
      <c r="C10" s="11">
        <v>1436</v>
      </c>
      <c r="D10" s="12">
        <v>42044</v>
      </c>
      <c r="E10" s="13">
        <v>154.88800000000001</v>
      </c>
      <c r="F10" s="11">
        <v>1918</v>
      </c>
      <c r="G10" s="12">
        <v>54312</v>
      </c>
      <c r="H10" s="13">
        <v>194.173</v>
      </c>
      <c r="I10" s="14">
        <f t="shared" ref="I10:I14" si="0">C10-F10</f>
        <v>-482</v>
      </c>
      <c r="J10" s="32">
        <f t="shared" ref="J10:J14" si="1">D10-G10</f>
        <v>-12268</v>
      </c>
      <c r="K10" s="15">
        <f t="shared" ref="K10:K14" si="2">E10-H10</f>
        <v>-39.284999999999997</v>
      </c>
    </row>
    <row r="11" spans="2:11" ht="22.5" customHeight="1">
      <c r="B11" s="10" t="s">
        <v>6</v>
      </c>
      <c r="C11" s="11">
        <v>11000</v>
      </c>
      <c r="D11" s="12">
        <v>330000</v>
      </c>
      <c r="E11" s="13">
        <v>1372.752</v>
      </c>
      <c r="F11" s="11">
        <v>12376</v>
      </c>
      <c r="G11" s="12">
        <v>371280</v>
      </c>
      <c r="H11" s="13">
        <v>1308.1699999999998</v>
      </c>
      <c r="I11" s="14">
        <f t="shared" si="0"/>
        <v>-1376</v>
      </c>
      <c r="J11" s="32">
        <f t="shared" si="1"/>
        <v>-41280</v>
      </c>
      <c r="K11" s="15">
        <f t="shared" si="2"/>
        <v>64.582000000000107</v>
      </c>
    </row>
    <row r="12" spans="2:11" ht="22.5" customHeight="1">
      <c r="B12" s="10" t="s">
        <v>7</v>
      </c>
      <c r="C12" s="11">
        <v>0</v>
      </c>
      <c r="D12" s="12">
        <v>0</v>
      </c>
      <c r="E12" s="13">
        <v>0</v>
      </c>
      <c r="F12" s="11">
        <v>0</v>
      </c>
      <c r="G12" s="12">
        <v>0</v>
      </c>
      <c r="H12" s="13">
        <v>0</v>
      </c>
      <c r="I12" s="14">
        <f t="shared" si="0"/>
        <v>0</v>
      </c>
      <c r="J12" s="32">
        <f t="shared" si="1"/>
        <v>0</v>
      </c>
      <c r="K12" s="15">
        <f t="shared" si="2"/>
        <v>0</v>
      </c>
    </row>
    <row r="13" spans="2:11" ht="22.5" customHeight="1">
      <c r="B13" s="10" t="s">
        <v>8</v>
      </c>
      <c r="C13" s="11">
        <v>680</v>
      </c>
      <c r="D13" s="12">
        <v>20400</v>
      </c>
      <c r="E13" s="13">
        <v>73.295000000000002</v>
      </c>
      <c r="F13" s="11">
        <v>206</v>
      </c>
      <c r="G13" s="12">
        <v>6180</v>
      </c>
      <c r="H13" s="13">
        <v>24.505000000000003</v>
      </c>
      <c r="I13" s="14">
        <f t="shared" si="0"/>
        <v>474</v>
      </c>
      <c r="J13" s="32">
        <f t="shared" si="1"/>
        <v>14220</v>
      </c>
      <c r="K13" s="15">
        <f t="shared" si="2"/>
        <v>48.79</v>
      </c>
    </row>
    <row r="14" spans="2:11" ht="22.5" customHeight="1" thickBot="1">
      <c r="B14" s="16" t="s">
        <v>9</v>
      </c>
      <c r="C14" s="17">
        <v>34525</v>
      </c>
      <c r="D14" s="18">
        <v>1035750</v>
      </c>
      <c r="E14" s="19">
        <v>4527.9639999999999</v>
      </c>
      <c r="F14" s="17">
        <v>33798</v>
      </c>
      <c r="G14" s="18">
        <v>1013940</v>
      </c>
      <c r="H14" s="19">
        <v>3874.241</v>
      </c>
      <c r="I14" s="29">
        <f t="shared" si="0"/>
        <v>727</v>
      </c>
      <c r="J14" s="33">
        <f t="shared" si="1"/>
        <v>21810</v>
      </c>
      <c r="K14" s="30">
        <f t="shared" si="2"/>
        <v>653.72299999999996</v>
      </c>
    </row>
    <row r="15" spans="2:11" ht="22.5" customHeight="1" thickTop="1" thickBot="1">
      <c r="B15" s="20" t="s">
        <v>10</v>
      </c>
      <c r="C15" s="21">
        <f t="shared" ref="C15:J15" si="3">SUM(C12:C14)</f>
        <v>35205</v>
      </c>
      <c r="D15" s="22">
        <f t="shared" si="3"/>
        <v>1056150</v>
      </c>
      <c r="E15" s="23">
        <f t="shared" si="3"/>
        <v>4601.259</v>
      </c>
      <c r="F15" s="21">
        <f t="shared" si="3"/>
        <v>34004</v>
      </c>
      <c r="G15" s="22">
        <f t="shared" si="3"/>
        <v>1020120</v>
      </c>
      <c r="H15" s="23">
        <f t="shared" si="3"/>
        <v>3898.7460000000001</v>
      </c>
      <c r="I15" s="21">
        <f>SUM(I12:I14)</f>
        <v>1201</v>
      </c>
      <c r="J15" s="22">
        <f t="shared" si="3"/>
        <v>36030</v>
      </c>
      <c r="K15" s="23">
        <f>SUM(K12:K14)</f>
        <v>702.51299999999992</v>
      </c>
    </row>
    <row r="16" spans="2:11" ht="22.5" customHeight="1" thickTop="1">
      <c r="B16" s="26" t="s">
        <v>11</v>
      </c>
      <c r="C16" s="4">
        <v>44324</v>
      </c>
      <c r="D16" s="27">
        <v>1329720</v>
      </c>
      <c r="E16" s="6">
        <v>9462.4459999999999</v>
      </c>
      <c r="F16" s="4">
        <v>33690</v>
      </c>
      <c r="G16" s="27">
        <v>1010700</v>
      </c>
      <c r="H16" s="6">
        <v>7023.0140000000001</v>
      </c>
      <c r="I16" s="7">
        <f>C16-F16</f>
        <v>10634</v>
      </c>
      <c r="J16" s="8">
        <f>D16-G16</f>
        <v>319020</v>
      </c>
      <c r="K16" s="9">
        <f>E16-H16</f>
        <v>2439.4319999999998</v>
      </c>
    </row>
    <row r="17" spans="2:11" ht="22.5" customHeight="1">
      <c r="B17" s="26" t="s">
        <v>12</v>
      </c>
      <c r="C17" s="4">
        <v>2546</v>
      </c>
      <c r="D17" s="27">
        <v>76380</v>
      </c>
      <c r="E17" s="6">
        <v>128.92099999999999</v>
      </c>
      <c r="F17" s="4">
        <v>1720</v>
      </c>
      <c r="G17" s="27">
        <v>51600</v>
      </c>
      <c r="H17" s="6">
        <v>89.515000000000015</v>
      </c>
      <c r="I17" s="14">
        <f t="shared" ref="I17:I18" si="4">C17-F17</f>
        <v>826</v>
      </c>
      <c r="J17" s="32">
        <f t="shared" ref="J17:J18" si="5">D17-G17</f>
        <v>24780</v>
      </c>
      <c r="K17" s="15">
        <f t="shared" ref="K17:K18" si="6">E17-H17</f>
        <v>39.405999999999977</v>
      </c>
    </row>
    <row r="18" spans="2:11" ht="22.5" customHeight="1" thickBot="1">
      <c r="B18" s="16" t="s">
        <v>13</v>
      </c>
      <c r="C18" s="17">
        <v>9602</v>
      </c>
      <c r="D18" s="18">
        <v>288060</v>
      </c>
      <c r="E18" s="19">
        <v>1629.3989999999999</v>
      </c>
      <c r="F18" s="17">
        <v>21510</v>
      </c>
      <c r="G18" s="18">
        <v>645300</v>
      </c>
      <c r="H18" s="19">
        <v>2927.8380000000002</v>
      </c>
      <c r="I18" s="29">
        <f t="shared" si="4"/>
        <v>-11908</v>
      </c>
      <c r="J18" s="33">
        <f t="shared" si="5"/>
        <v>-357240</v>
      </c>
      <c r="K18" s="30">
        <f t="shared" si="6"/>
        <v>-1298.4390000000003</v>
      </c>
    </row>
    <row r="19" spans="2:11" ht="22.5" customHeight="1" thickTop="1" thickBot="1">
      <c r="B19" s="20" t="s">
        <v>14</v>
      </c>
      <c r="C19" s="21">
        <f>SUM(C16:C18)</f>
        <v>56472</v>
      </c>
      <c r="D19" s="22">
        <f t="shared" ref="D19:K19" si="7">SUM(D16:D18)</f>
        <v>1694160</v>
      </c>
      <c r="E19" s="23">
        <f t="shared" si="7"/>
        <v>11220.766</v>
      </c>
      <c r="F19" s="21">
        <f>SUM(F16:F18)</f>
        <v>56920</v>
      </c>
      <c r="G19" s="22">
        <f t="shared" si="7"/>
        <v>1707600</v>
      </c>
      <c r="H19" s="23">
        <f t="shared" si="7"/>
        <v>10040.367</v>
      </c>
      <c r="I19" s="21">
        <f t="shared" si="7"/>
        <v>-448</v>
      </c>
      <c r="J19" s="22">
        <f t="shared" si="7"/>
        <v>-13440</v>
      </c>
      <c r="K19" s="23">
        <f t="shared" si="7"/>
        <v>1180.3989999999994</v>
      </c>
    </row>
    <row r="20" spans="2:11" ht="22.5" customHeight="1" thickTop="1">
      <c r="B20" s="26" t="s">
        <v>15</v>
      </c>
      <c r="C20" s="4">
        <v>14578</v>
      </c>
      <c r="D20" s="27">
        <v>437340</v>
      </c>
      <c r="E20" s="6">
        <v>3490.4689999999996</v>
      </c>
      <c r="F20" s="4">
        <v>16762</v>
      </c>
      <c r="G20" s="27">
        <v>502860</v>
      </c>
      <c r="H20" s="6">
        <v>2834.6040000000003</v>
      </c>
      <c r="I20" s="7">
        <f>C20-F20</f>
        <v>-2184</v>
      </c>
      <c r="J20" s="8">
        <f>D20-G20</f>
        <v>-65520</v>
      </c>
      <c r="K20" s="9">
        <f>E20-H20</f>
        <v>655.86499999999933</v>
      </c>
    </row>
    <row r="21" spans="2:11" ht="22.5" customHeight="1">
      <c r="B21" s="26" t="s">
        <v>16</v>
      </c>
      <c r="C21" s="4">
        <v>0</v>
      </c>
      <c r="D21" s="12">
        <v>0</v>
      </c>
      <c r="E21" s="6">
        <v>0</v>
      </c>
      <c r="F21" s="4">
        <v>0</v>
      </c>
      <c r="G21" s="12">
        <v>0</v>
      </c>
      <c r="H21" s="6">
        <v>0</v>
      </c>
      <c r="I21" s="14">
        <f t="shared" ref="I21:I25" si="8">C21-F21</f>
        <v>0</v>
      </c>
      <c r="J21" s="32">
        <f t="shared" ref="J21:J25" si="9">D21-G21</f>
        <v>0</v>
      </c>
      <c r="K21" s="15">
        <f t="shared" ref="K21:K25" si="10">E21-H21</f>
        <v>0</v>
      </c>
    </row>
    <row r="22" spans="2:11" ht="22.5" customHeight="1">
      <c r="B22" s="10" t="s">
        <v>17</v>
      </c>
      <c r="C22" s="11">
        <v>171</v>
      </c>
      <c r="D22" s="12">
        <v>4944</v>
      </c>
      <c r="E22" s="13">
        <v>33.608000000000004</v>
      </c>
      <c r="F22" s="11">
        <v>0</v>
      </c>
      <c r="G22" s="12">
        <v>0</v>
      </c>
      <c r="H22" s="13">
        <v>0</v>
      </c>
      <c r="I22" s="14">
        <f t="shared" si="8"/>
        <v>171</v>
      </c>
      <c r="J22" s="32">
        <f t="shared" si="9"/>
        <v>4944</v>
      </c>
      <c r="K22" s="15">
        <f t="shared" si="10"/>
        <v>33.608000000000004</v>
      </c>
    </row>
    <row r="23" spans="2:11" ht="22.5" customHeight="1">
      <c r="B23" s="10" t="s">
        <v>18</v>
      </c>
      <c r="C23" s="11">
        <v>0</v>
      </c>
      <c r="D23" s="12">
        <v>0</v>
      </c>
      <c r="E23" s="13">
        <v>0</v>
      </c>
      <c r="F23" s="11">
        <v>428</v>
      </c>
      <c r="G23" s="12">
        <v>12840</v>
      </c>
      <c r="H23" s="13">
        <v>108.233</v>
      </c>
      <c r="I23" s="14">
        <f t="shared" si="8"/>
        <v>-428</v>
      </c>
      <c r="J23" s="32">
        <f t="shared" si="9"/>
        <v>-12840</v>
      </c>
      <c r="K23" s="15">
        <f t="shared" si="10"/>
        <v>-108.233</v>
      </c>
    </row>
    <row r="24" spans="2:11" ht="22.5" customHeight="1">
      <c r="B24" s="10" t="s">
        <v>19</v>
      </c>
      <c r="C24" s="11">
        <v>0</v>
      </c>
      <c r="D24" s="12">
        <v>0</v>
      </c>
      <c r="E24" s="13">
        <v>0</v>
      </c>
      <c r="F24" s="11">
        <v>0</v>
      </c>
      <c r="G24" s="12">
        <v>0</v>
      </c>
      <c r="H24" s="13">
        <v>0</v>
      </c>
      <c r="I24" s="14">
        <f t="shared" si="8"/>
        <v>0</v>
      </c>
      <c r="J24" s="32">
        <f t="shared" si="9"/>
        <v>0</v>
      </c>
      <c r="K24" s="15">
        <f t="shared" si="10"/>
        <v>0</v>
      </c>
    </row>
    <row r="25" spans="2:11" ht="22.5" customHeight="1">
      <c r="B25" s="10" t="s">
        <v>20</v>
      </c>
      <c r="C25" s="11">
        <v>162</v>
      </c>
      <c r="D25" s="12">
        <v>3888</v>
      </c>
      <c r="E25" s="13">
        <v>28.436</v>
      </c>
      <c r="F25" s="11">
        <v>178</v>
      </c>
      <c r="G25" s="12">
        <v>4272</v>
      </c>
      <c r="H25" s="13">
        <v>38.306000000000004</v>
      </c>
      <c r="I25" s="14">
        <f t="shared" si="8"/>
        <v>-16</v>
      </c>
      <c r="J25" s="32">
        <f t="shared" si="9"/>
        <v>-384</v>
      </c>
      <c r="K25" s="15">
        <f t="shared" si="10"/>
        <v>-9.8700000000000045</v>
      </c>
    </row>
    <row r="26" spans="2:11" ht="22.5" customHeight="1" thickBot="1">
      <c r="B26" s="28" t="s">
        <v>21</v>
      </c>
      <c r="C26" s="17">
        <v>2093</v>
      </c>
      <c r="D26" s="18">
        <v>50232</v>
      </c>
      <c r="E26" s="19">
        <v>330.67899999999997</v>
      </c>
      <c r="F26" s="17">
        <v>1938</v>
      </c>
      <c r="G26" s="18">
        <v>46512</v>
      </c>
      <c r="H26" s="19">
        <v>259.39500000000004</v>
      </c>
      <c r="I26" s="29">
        <f>C26-F26</f>
        <v>155</v>
      </c>
      <c r="J26" s="33">
        <f t="shared" ref="J26" si="11">D26-G26</f>
        <v>3720</v>
      </c>
      <c r="K26" s="30">
        <f t="shared" ref="K26" si="12">E26-H26</f>
        <v>71.283999999999935</v>
      </c>
    </row>
    <row r="27" spans="2:11" ht="22.5" customHeight="1" thickTop="1" thickBot="1">
      <c r="B27" s="20" t="s">
        <v>22</v>
      </c>
      <c r="C27" s="24">
        <f>SUM(C9:C14,C16:C18,C20:C26)</f>
        <v>121147</v>
      </c>
      <c r="D27" s="24">
        <f t="shared" ref="D27:H27" si="13">SUM(D9:D14,D16:D18,D20:D26)</f>
        <v>3619521.9</v>
      </c>
      <c r="E27" s="25">
        <f>SUM(E9:E14,E16:E18,E20:E26)</f>
        <v>21236.556000000004</v>
      </c>
      <c r="F27" s="24">
        <f t="shared" si="13"/>
        <v>124640</v>
      </c>
      <c r="G27" s="24">
        <f t="shared" si="13"/>
        <v>3722118.54</v>
      </c>
      <c r="H27" s="25">
        <f t="shared" si="13"/>
        <v>18693.735000000001</v>
      </c>
      <c r="I27" s="24">
        <f>SUM(I9:I14,I16:I18,I20:I26)</f>
        <v>-3493</v>
      </c>
      <c r="J27" s="24">
        <f>SUM(J9:J14,J16:J18,J20:J26)</f>
        <v>-102596.64000000001</v>
      </c>
      <c r="K27" s="25">
        <f>SUM(K9:K14,K16:K18,K20:K26)</f>
        <v>2542.820999999999</v>
      </c>
    </row>
    <row r="28" spans="2:11" ht="22.5" customHeight="1" thickTop="1" thickBot="1">
      <c r="B28" s="20" t="s">
        <v>23</v>
      </c>
      <c r="C28" s="24" t="s">
        <v>24</v>
      </c>
      <c r="D28" s="24" t="s">
        <v>24</v>
      </c>
      <c r="E28" s="25">
        <v>22715.137999999999</v>
      </c>
      <c r="F28" s="24" t="s">
        <v>24</v>
      </c>
      <c r="G28" s="24" t="s">
        <v>24</v>
      </c>
      <c r="H28" s="25">
        <v>18619.267</v>
      </c>
      <c r="I28" s="24" t="s">
        <v>24</v>
      </c>
      <c r="J28" s="24" t="s">
        <v>24</v>
      </c>
      <c r="K28" s="25">
        <f>E28-H28</f>
        <v>4095.8709999999992</v>
      </c>
    </row>
    <row r="29" spans="2:11" ht="22.5" customHeight="1" thickTop="1" thickBot="1">
      <c r="B29" s="20" t="s">
        <v>25</v>
      </c>
      <c r="C29" s="24" t="s">
        <v>24</v>
      </c>
      <c r="D29" s="24" t="s">
        <v>24</v>
      </c>
      <c r="E29" s="25">
        <f>E27-E28</f>
        <v>-1478.5819999999949</v>
      </c>
      <c r="F29" s="24" t="s">
        <v>24</v>
      </c>
      <c r="G29" s="24" t="s">
        <v>24</v>
      </c>
      <c r="H29" s="25">
        <f>H27-H28</f>
        <v>74.468000000000757</v>
      </c>
      <c r="I29" s="24" t="s">
        <v>24</v>
      </c>
      <c r="J29" s="24" t="s">
        <v>24</v>
      </c>
      <c r="K29" s="25" t="s">
        <v>24</v>
      </c>
    </row>
    <row r="30" spans="2:11" ht="22.5" customHeight="1" thickTop="1" thickBot="1">
      <c r="B30" s="20" t="s">
        <v>26</v>
      </c>
      <c r="C30" s="24" t="s">
        <v>24</v>
      </c>
      <c r="D30" s="24" t="s">
        <v>24</v>
      </c>
      <c r="E30" s="31">
        <f>E29/E28</f>
        <v>-6.509236263499675E-2</v>
      </c>
      <c r="F30" s="24" t="s">
        <v>24</v>
      </c>
      <c r="G30" s="24" t="s">
        <v>24</v>
      </c>
      <c r="H30" s="31">
        <f>H29/H28</f>
        <v>3.999512977605443E-3</v>
      </c>
      <c r="I30" s="24" t="s">
        <v>24</v>
      </c>
      <c r="J30" s="24" t="s">
        <v>24</v>
      </c>
      <c r="K30" s="34" t="s">
        <v>24</v>
      </c>
    </row>
    <row r="31" spans="2:11" ht="15.75" thickTop="1"/>
    <row r="36" spans="5:8">
      <c r="E36" s="39"/>
      <c r="H36" s="39"/>
    </row>
  </sheetData>
  <mergeCells count="8">
    <mergeCell ref="B3:K3"/>
    <mergeCell ref="B4:K4"/>
    <mergeCell ref="J5:K5"/>
    <mergeCell ref="J6:K6"/>
    <mergeCell ref="B7:B8"/>
    <mergeCell ref="C7:E7"/>
    <mergeCell ref="F7:H7"/>
    <mergeCell ref="I7:K7"/>
  </mergeCells>
  <pageMargins left="0.38" right="0.23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K31"/>
  <sheetViews>
    <sheetView workbookViewId="0">
      <selection activeCell="J15" sqref="J15"/>
    </sheetView>
  </sheetViews>
  <sheetFormatPr defaultRowHeight="15"/>
  <cols>
    <col min="1" max="1" width="2.28515625" customWidth="1"/>
    <col min="2" max="2" width="19.140625" bestFit="1" customWidth="1"/>
    <col min="3" max="3" width="7.42578125" bestFit="1" customWidth="1"/>
    <col min="4" max="4" width="8.85546875" bestFit="1" customWidth="1"/>
    <col min="5" max="5" width="9.85546875" bestFit="1" customWidth="1"/>
    <col min="6" max="6" width="7.42578125" bestFit="1" customWidth="1"/>
    <col min="7" max="7" width="8.85546875" bestFit="1" customWidth="1"/>
    <col min="8" max="8" width="9.85546875" bestFit="1" customWidth="1"/>
    <col min="9" max="9" width="6.42578125" bestFit="1" customWidth="1"/>
    <col min="10" max="10" width="9.42578125" bestFit="1" customWidth="1"/>
    <col min="11" max="11" width="8.85546875" bestFit="1" customWidth="1"/>
    <col min="12" max="12" width="3.140625" customWidth="1"/>
  </cols>
  <sheetData>
    <row r="3" spans="2:11">
      <c r="B3" s="56" t="s">
        <v>39</v>
      </c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7" t="s">
        <v>27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15.75">
      <c r="B5" s="36"/>
      <c r="C5" s="36"/>
      <c r="D5" s="36"/>
      <c r="E5" s="36"/>
      <c r="F5" s="36"/>
      <c r="G5" s="36"/>
      <c r="H5" s="36"/>
      <c r="I5" s="36"/>
      <c r="J5" s="58" t="s">
        <v>28</v>
      </c>
      <c r="K5" s="58"/>
    </row>
    <row r="6" spans="2:11" ht="14.25" customHeight="1" thickBot="1">
      <c r="B6" s="35"/>
      <c r="C6" s="35"/>
      <c r="D6" s="35"/>
      <c r="E6" s="35"/>
      <c r="F6" s="35"/>
      <c r="G6" s="35"/>
      <c r="H6" s="35"/>
      <c r="I6" s="35"/>
      <c r="J6" s="59" t="s">
        <v>29</v>
      </c>
      <c r="K6" s="59"/>
    </row>
    <row r="7" spans="2:11" ht="30.75" customHeight="1" thickTop="1" thickBot="1">
      <c r="B7" s="60" t="s">
        <v>0</v>
      </c>
      <c r="C7" s="62" t="s">
        <v>40</v>
      </c>
      <c r="D7" s="63"/>
      <c r="E7" s="63"/>
      <c r="F7" s="62" t="s">
        <v>41</v>
      </c>
      <c r="G7" s="63"/>
      <c r="H7" s="63"/>
      <c r="I7" s="61" t="s">
        <v>25</v>
      </c>
      <c r="J7" s="60"/>
      <c r="K7" s="60"/>
    </row>
    <row r="8" spans="2:11" ht="27" thickTop="1" thickBot="1">
      <c r="B8" s="60"/>
      <c r="C8" s="41" t="s">
        <v>1</v>
      </c>
      <c r="D8" s="40" t="s">
        <v>2</v>
      </c>
      <c r="E8" s="40" t="s">
        <v>3</v>
      </c>
      <c r="F8" s="41" t="s">
        <v>1</v>
      </c>
      <c r="G8" s="40" t="s">
        <v>2</v>
      </c>
      <c r="H8" s="40" t="s">
        <v>3</v>
      </c>
      <c r="I8" s="41" t="s">
        <v>1</v>
      </c>
      <c r="J8" s="40" t="s">
        <v>2</v>
      </c>
      <c r="K8" s="40" t="s">
        <v>3</v>
      </c>
    </row>
    <row r="9" spans="2:11" ht="22.5" customHeight="1" thickTop="1">
      <c r="B9" s="3" t="s">
        <v>4</v>
      </c>
      <c r="C9" s="4">
        <v>28</v>
      </c>
      <c r="D9" s="5">
        <v>723.69999999999993</v>
      </c>
      <c r="E9" s="6">
        <v>3.4949999999999997</v>
      </c>
      <c r="F9" s="4">
        <v>110</v>
      </c>
      <c r="G9" s="5">
        <v>2202</v>
      </c>
      <c r="H9" s="6">
        <v>11.129999999999999</v>
      </c>
      <c r="I9" s="7">
        <f>C9-F9</f>
        <v>-82</v>
      </c>
      <c r="J9" s="8">
        <f>D9-G9</f>
        <v>-1478.3000000000002</v>
      </c>
      <c r="K9" s="9">
        <f>E9-H9</f>
        <v>-7.6349999999999998</v>
      </c>
    </row>
    <row r="10" spans="2:11" ht="22.5" customHeight="1">
      <c r="B10" s="10" t="s">
        <v>5</v>
      </c>
      <c r="C10" s="11">
        <v>1436</v>
      </c>
      <c r="D10" s="12">
        <v>42044</v>
      </c>
      <c r="E10" s="13">
        <v>154.88800000000001</v>
      </c>
      <c r="F10" s="11">
        <v>1837</v>
      </c>
      <c r="G10" s="12">
        <v>52044</v>
      </c>
      <c r="H10" s="13">
        <v>187.28700000000001</v>
      </c>
      <c r="I10" s="14">
        <f t="shared" ref="I10:K14" si="0">C10-F10</f>
        <v>-401</v>
      </c>
      <c r="J10" s="32">
        <f t="shared" si="0"/>
        <v>-10000</v>
      </c>
      <c r="K10" s="15">
        <f t="shared" si="0"/>
        <v>-32.399000000000001</v>
      </c>
    </row>
    <row r="11" spans="2:11" ht="22.5" customHeight="1">
      <c r="B11" s="10" t="s">
        <v>6</v>
      </c>
      <c r="C11" s="11">
        <v>9870</v>
      </c>
      <c r="D11" s="12">
        <v>296100</v>
      </c>
      <c r="E11" s="13">
        <v>1221.337</v>
      </c>
      <c r="F11" s="11">
        <v>10580</v>
      </c>
      <c r="G11" s="12">
        <v>317400</v>
      </c>
      <c r="H11" s="13">
        <v>1116.8999999999999</v>
      </c>
      <c r="I11" s="14">
        <f t="shared" si="0"/>
        <v>-710</v>
      </c>
      <c r="J11" s="32">
        <f t="shared" si="0"/>
        <v>-21300</v>
      </c>
      <c r="K11" s="15">
        <f t="shared" si="0"/>
        <v>104.43700000000013</v>
      </c>
    </row>
    <row r="12" spans="2:11" ht="22.5" customHeight="1">
      <c r="B12" s="10" t="s">
        <v>7</v>
      </c>
      <c r="C12" s="11">
        <v>0</v>
      </c>
      <c r="D12" s="12">
        <v>0</v>
      </c>
      <c r="E12" s="13">
        <v>0</v>
      </c>
      <c r="F12" s="11">
        <v>0</v>
      </c>
      <c r="G12" s="12">
        <v>0</v>
      </c>
      <c r="H12" s="13">
        <v>0</v>
      </c>
      <c r="I12" s="14">
        <f t="shared" si="0"/>
        <v>0</v>
      </c>
      <c r="J12" s="32">
        <f t="shared" si="0"/>
        <v>0</v>
      </c>
      <c r="K12" s="15">
        <f t="shared" si="0"/>
        <v>0</v>
      </c>
    </row>
    <row r="13" spans="2:11" ht="22.5" customHeight="1">
      <c r="B13" s="10" t="s">
        <v>8</v>
      </c>
      <c r="C13" s="11">
        <v>680</v>
      </c>
      <c r="D13" s="12">
        <v>20400</v>
      </c>
      <c r="E13" s="13">
        <v>73.295000000000002</v>
      </c>
      <c r="F13" s="11">
        <v>154</v>
      </c>
      <c r="G13" s="12">
        <v>4620</v>
      </c>
      <c r="H13" s="13">
        <v>18.251000000000001</v>
      </c>
      <c r="I13" s="14">
        <f t="shared" si="0"/>
        <v>526</v>
      </c>
      <c r="J13" s="32">
        <f t="shared" si="0"/>
        <v>15780</v>
      </c>
      <c r="K13" s="15">
        <f t="shared" si="0"/>
        <v>55.043999999999997</v>
      </c>
    </row>
    <row r="14" spans="2:11" ht="22.5" customHeight="1" thickBot="1">
      <c r="B14" s="16" t="s">
        <v>9</v>
      </c>
      <c r="C14" s="17">
        <v>30759</v>
      </c>
      <c r="D14" s="18">
        <v>922770</v>
      </c>
      <c r="E14" s="19">
        <v>4020.8829999999998</v>
      </c>
      <c r="F14" s="17">
        <v>29746</v>
      </c>
      <c r="G14" s="18">
        <v>892380</v>
      </c>
      <c r="H14" s="19">
        <v>3406.8</v>
      </c>
      <c r="I14" s="29">
        <f t="shared" si="0"/>
        <v>1013</v>
      </c>
      <c r="J14" s="33">
        <f t="shared" si="0"/>
        <v>30390</v>
      </c>
      <c r="K14" s="30">
        <f t="shared" si="0"/>
        <v>614.08299999999963</v>
      </c>
    </row>
    <row r="15" spans="2:11" ht="22.5" customHeight="1" thickTop="1" thickBot="1">
      <c r="B15" s="20" t="s">
        <v>10</v>
      </c>
      <c r="C15" s="21">
        <f t="shared" ref="C15:J15" si="1">SUM(C12:C14)</f>
        <v>31439</v>
      </c>
      <c r="D15" s="22">
        <f t="shared" si="1"/>
        <v>943170</v>
      </c>
      <c r="E15" s="23">
        <f t="shared" si="1"/>
        <v>4094.1779999999999</v>
      </c>
      <c r="F15" s="21">
        <f t="shared" si="1"/>
        <v>29900</v>
      </c>
      <c r="G15" s="22">
        <f t="shared" si="1"/>
        <v>897000</v>
      </c>
      <c r="H15" s="23">
        <f t="shared" si="1"/>
        <v>3425.0510000000004</v>
      </c>
      <c r="I15" s="21">
        <f>SUM(I12:I14)</f>
        <v>1539</v>
      </c>
      <c r="J15" s="22">
        <f t="shared" si="1"/>
        <v>46170</v>
      </c>
      <c r="K15" s="23">
        <f>SUM(K12:K14)</f>
        <v>669.12699999999961</v>
      </c>
    </row>
    <row r="16" spans="2:11" ht="22.5" customHeight="1" thickTop="1">
      <c r="B16" s="26" t="s">
        <v>11</v>
      </c>
      <c r="C16" s="4">
        <v>39032</v>
      </c>
      <c r="D16" s="27">
        <v>1170960</v>
      </c>
      <c r="E16" s="6">
        <v>8306.4989999999998</v>
      </c>
      <c r="F16" s="4">
        <v>32002</v>
      </c>
      <c r="G16" s="27">
        <v>960060</v>
      </c>
      <c r="H16" s="6">
        <v>6667.21</v>
      </c>
      <c r="I16" s="7">
        <f>C16-F16</f>
        <v>7030</v>
      </c>
      <c r="J16" s="8">
        <f>D16-G16</f>
        <v>210900</v>
      </c>
      <c r="K16" s="9">
        <f>E16-H16</f>
        <v>1639.2889999999998</v>
      </c>
    </row>
    <row r="17" spans="2:11" ht="22.5" customHeight="1">
      <c r="B17" s="26" t="s">
        <v>12</v>
      </c>
      <c r="C17" s="4">
        <v>1940</v>
      </c>
      <c r="D17" s="27">
        <v>58200</v>
      </c>
      <c r="E17" s="6">
        <v>97.876999999999995</v>
      </c>
      <c r="F17" s="4">
        <v>1720</v>
      </c>
      <c r="G17" s="27">
        <v>51600</v>
      </c>
      <c r="H17" s="6">
        <v>89.515000000000015</v>
      </c>
      <c r="I17" s="14">
        <f t="shared" ref="I17:K18" si="2">C17-F17</f>
        <v>220</v>
      </c>
      <c r="J17" s="32">
        <f t="shared" si="2"/>
        <v>6600</v>
      </c>
      <c r="K17" s="15">
        <f t="shared" si="2"/>
        <v>8.3619999999999806</v>
      </c>
    </row>
    <row r="18" spans="2:11" ht="22.5" customHeight="1" thickBot="1">
      <c r="B18" s="16" t="s">
        <v>13</v>
      </c>
      <c r="C18" s="17">
        <v>8546</v>
      </c>
      <c r="D18" s="18">
        <v>256380</v>
      </c>
      <c r="E18" s="19">
        <v>1421.384</v>
      </c>
      <c r="F18" s="17">
        <v>17492</v>
      </c>
      <c r="G18" s="18">
        <v>524760</v>
      </c>
      <c r="H18" s="19">
        <v>2355.0790000000002</v>
      </c>
      <c r="I18" s="29">
        <f t="shared" si="2"/>
        <v>-8946</v>
      </c>
      <c r="J18" s="33">
        <f t="shared" si="2"/>
        <v>-268380</v>
      </c>
      <c r="K18" s="30">
        <f t="shared" si="2"/>
        <v>-933.69500000000016</v>
      </c>
    </row>
    <row r="19" spans="2:11" ht="22.5" customHeight="1" thickTop="1" thickBot="1">
      <c r="B19" s="20" t="s">
        <v>14</v>
      </c>
      <c r="C19" s="21">
        <f>SUM(C16:C18)</f>
        <v>49518</v>
      </c>
      <c r="D19" s="22">
        <f t="shared" ref="D19:K19" si="3">SUM(D16:D18)</f>
        <v>1485540</v>
      </c>
      <c r="E19" s="23">
        <f t="shared" si="3"/>
        <v>9825.76</v>
      </c>
      <c r="F19" s="21">
        <f>SUM(F16:F18)</f>
        <v>51214</v>
      </c>
      <c r="G19" s="22">
        <f t="shared" si="3"/>
        <v>1536420</v>
      </c>
      <c r="H19" s="23">
        <f t="shared" si="3"/>
        <v>9111.8040000000001</v>
      </c>
      <c r="I19" s="21">
        <f t="shared" si="3"/>
        <v>-1696</v>
      </c>
      <c r="J19" s="22">
        <f t="shared" si="3"/>
        <v>-50880</v>
      </c>
      <c r="K19" s="23">
        <f t="shared" si="3"/>
        <v>713.95599999999968</v>
      </c>
    </row>
    <row r="20" spans="2:11" ht="22.5" customHeight="1" thickTop="1">
      <c r="B20" s="26" t="s">
        <v>15</v>
      </c>
      <c r="C20" s="4">
        <v>12874</v>
      </c>
      <c r="D20" s="27">
        <v>386220</v>
      </c>
      <c r="E20" s="6">
        <v>3003.0209999999997</v>
      </c>
      <c r="F20" s="4">
        <v>14580</v>
      </c>
      <c r="G20" s="27">
        <v>437400</v>
      </c>
      <c r="H20" s="6">
        <v>2464.4070000000002</v>
      </c>
      <c r="I20" s="7">
        <f>C20-F20</f>
        <v>-1706</v>
      </c>
      <c r="J20" s="8">
        <f>D20-G20</f>
        <v>-51180</v>
      </c>
      <c r="K20" s="9">
        <f>E20-H20</f>
        <v>538.61399999999958</v>
      </c>
    </row>
    <row r="21" spans="2:11" ht="22.5" customHeight="1">
      <c r="B21" s="26" t="s">
        <v>16</v>
      </c>
      <c r="C21" s="4">
        <v>0</v>
      </c>
      <c r="D21" s="12">
        <v>0</v>
      </c>
      <c r="E21" s="6">
        <v>0</v>
      </c>
      <c r="F21" s="4">
        <v>0</v>
      </c>
      <c r="G21" s="12">
        <v>0</v>
      </c>
      <c r="H21" s="6">
        <v>0</v>
      </c>
      <c r="I21" s="14">
        <f t="shared" ref="I21:K26" si="4">C21-F21</f>
        <v>0</v>
      </c>
      <c r="J21" s="32">
        <f t="shared" si="4"/>
        <v>0</v>
      </c>
      <c r="K21" s="15">
        <f t="shared" si="4"/>
        <v>0</v>
      </c>
    </row>
    <row r="22" spans="2:11" ht="22.5" customHeight="1">
      <c r="B22" s="10" t="s">
        <v>17</v>
      </c>
      <c r="C22" s="11">
        <v>171</v>
      </c>
      <c r="D22" s="12">
        <v>4944</v>
      </c>
      <c r="E22" s="13">
        <v>33.608000000000004</v>
      </c>
      <c r="F22" s="11">
        <v>0</v>
      </c>
      <c r="G22" s="12">
        <v>0</v>
      </c>
      <c r="H22" s="13">
        <v>0</v>
      </c>
      <c r="I22" s="14">
        <f t="shared" si="4"/>
        <v>171</v>
      </c>
      <c r="J22" s="32">
        <f t="shared" si="4"/>
        <v>4944</v>
      </c>
      <c r="K22" s="15">
        <f t="shared" si="4"/>
        <v>33.608000000000004</v>
      </c>
    </row>
    <row r="23" spans="2:11" ht="22.5" customHeight="1">
      <c r="B23" s="10" t="s">
        <v>18</v>
      </c>
      <c r="C23" s="11">
        <v>0</v>
      </c>
      <c r="D23" s="12">
        <v>0</v>
      </c>
      <c r="E23" s="13">
        <v>0</v>
      </c>
      <c r="F23" s="11">
        <v>428</v>
      </c>
      <c r="G23" s="12">
        <v>12840</v>
      </c>
      <c r="H23" s="13">
        <v>108.233</v>
      </c>
      <c r="I23" s="14">
        <f t="shared" si="4"/>
        <v>-428</v>
      </c>
      <c r="J23" s="32">
        <f t="shared" si="4"/>
        <v>-12840</v>
      </c>
      <c r="K23" s="15">
        <f t="shared" si="4"/>
        <v>-108.233</v>
      </c>
    </row>
    <row r="24" spans="2:11" ht="22.5" customHeight="1">
      <c r="B24" s="10" t="s">
        <v>19</v>
      </c>
      <c r="C24" s="11">
        <v>0</v>
      </c>
      <c r="D24" s="12">
        <v>0</v>
      </c>
      <c r="E24" s="13">
        <v>0</v>
      </c>
      <c r="F24" s="11">
        <v>0</v>
      </c>
      <c r="G24" s="12">
        <v>0</v>
      </c>
      <c r="H24" s="13">
        <v>0</v>
      </c>
      <c r="I24" s="14">
        <f t="shared" si="4"/>
        <v>0</v>
      </c>
      <c r="J24" s="32">
        <f t="shared" si="4"/>
        <v>0</v>
      </c>
      <c r="K24" s="15">
        <f t="shared" si="4"/>
        <v>0</v>
      </c>
    </row>
    <row r="25" spans="2:11" ht="22.5" customHeight="1">
      <c r="B25" s="10" t="s">
        <v>20</v>
      </c>
      <c r="C25" s="11">
        <v>131</v>
      </c>
      <c r="D25" s="12">
        <v>3144</v>
      </c>
      <c r="E25" s="13">
        <v>22.757000000000001</v>
      </c>
      <c r="F25" s="11">
        <v>176</v>
      </c>
      <c r="G25" s="12">
        <v>4224</v>
      </c>
      <c r="H25" s="13">
        <v>37.798000000000002</v>
      </c>
      <c r="I25" s="14">
        <f t="shared" si="4"/>
        <v>-45</v>
      </c>
      <c r="J25" s="32">
        <f t="shared" si="4"/>
        <v>-1080</v>
      </c>
      <c r="K25" s="15">
        <f t="shared" si="4"/>
        <v>-15.041</v>
      </c>
    </row>
    <row r="26" spans="2:11" ht="22.5" customHeight="1" thickBot="1">
      <c r="B26" s="28" t="s">
        <v>21</v>
      </c>
      <c r="C26" s="17">
        <v>1955</v>
      </c>
      <c r="D26" s="18">
        <v>46920</v>
      </c>
      <c r="E26" s="19">
        <v>285.01900000000001</v>
      </c>
      <c r="F26" s="17">
        <v>1607</v>
      </c>
      <c r="G26" s="18">
        <v>38568</v>
      </c>
      <c r="H26" s="19">
        <v>241.29600000000002</v>
      </c>
      <c r="I26" s="29">
        <f>C26-F26</f>
        <v>348</v>
      </c>
      <c r="J26" s="33">
        <f t="shared" si="4"/>
        <v>8352</v>
      </c>
      <c r="K26" s="30">
        <f t="shared" si="4"/>
        <v>43.722999999999985</v>
      </c>
    </row>
    <row r="27" spans="2:11" ht="22.5" customHeight="1" thickTop="1" thickBot="1">
      <c r="B27" s="20" t="s">
        <v>22</v>
      </c>
      <c r="C27" s="24">
        <f>SUM(C9:C14,C16:C18,C20:C26)</f>
        <v>107422</v>
      </c>
      <c r="D27" s="24">
        <f t="shared" ref="D27:H27" si="5">SUM(D9:D14,D16:D18,D20:D26)</f>
        <v>3208805.7</v>
      </c>
      <c r="E27" s="25">
        <f>SUM(E9:E14,E16:E18,E20:E26)</f>
        <v>18644.063000000002</v>
      </c>
      <c r="F27" s="24">
        <f t="shared" si="5"/>
        <v>110432</v>
      </c>
      <c r="G27" s="24">
        <f t="shared" si="5"/>
        <v>3298098</v>
      </c>
      <c r="H27" s="25">
        <f t="shared" si="5"/>
        <v>16703.905999999999</v>
      </c>
      <c r="I27" s="24">
        <f>SUM(I9:I14,I16:I18,I20:I26)</f>
        <v>-3010</v>
      </c>
      <c r="J27" s="24">
        <f>SUM(J9:J14,J16:J18,J20:J26)</f>
        <v>-89292.299999999988</v>
      </c>
      <c r="K27" s="25">
        <f>SUM(K9:K14,K16:K18,K20:K26)</f>
        <v>1940.156999999999</v>
      </c>
    </row>
    <row r="28" spans="2:11" ht="22.5" customHeight="1" thickTop="1" thickBot="1">
      <c r="B28" s="20" t="s">
        <v>23</v>
      </c>
      <c r="C28" s="24" t="s">
        <v>24</v>
      </c>
      <c r="D28" s="24" t="s">
        <v>24</v>
      </c>
      <c r="E28" s="25">
        <v>20097.756000000001</v>
      </c>
      <c r="F28" s="24" t="s">
        <v>24</v>
      </c>
      <c r="G28" s="24" t="s">
        <v>24</v>
      </c>
      <c r="H28" s="25">
        <v>15250.501</v>
      </c>
      <c r="I28" s="24" t="s">
        <v>24</v>
      </c>
      <c r="J28" s="24" t="s">
        <v>24</v>
      </c>
      <c r="K28" s="25">
        <f>E28-H28</f>
        <v>4847.255000000001</v>
      </c>
    </row>
    <row r="29" spans="2:11" ht="22.5" customHeight="1" thickTop="1" thickBot="1">
      <c r="B29" s="20" t="s">
        <v>25</v>
      </c>
      <c r="C29" s="24" t="s">
        <v>24</v>
      </c>
      <c r="D29" s="24" t="s">
        <v>24</v>
      </c>
      <c r="E29" s="25">
        <f>E27-E28</f>
        <v>-1453.6929999999993</v>
      </c>
      <c r="F29" s="24" t="s">
        <v>24</v>
      </c>
      <c r="G29" s="24" t="s">
        <v>24</v>
      </c>
      <c r="H29" s="25">
        <f>H27-H28</f>
        <v>1453.4049999999988</v>
      </c>
      <c r="I29" s="24" t="s">
        <v>24</v>
      </c>
      <c r="J29" s="24" t="s">
        <v>24</v>
      </c>
      <c r="K29" s="25" t="s">
        <v>24</v>
      </c>
    </row>
    <row r="30" spans="2:11" ht="22.5" customHeight="1" thickTop="1" thickBot="1">
      <c r="B30" s="20" t="s">
        <v>26</v>
      </c>
      <c r="C30" s="24" t="s">
        <v>24</v>
      </c>
      <c r="D30" s="24" t="s">
        <v>24</v>
      </c>
      <c r="E30" s="31">
        <f>E29/E28</f>
        <v>-7.2331110000539323E-2</v>
      </c>
      <c r="F30" s="24" t="s">
        <v>24</v>
      </c>
      <c r="G30" s="24" t="s">
        <v>24</v>
      </c>
      <c r="H30" s="31">
        <f>H29/H28</f>
        <v>9.5302114992812284E-2</v>
      </c>
      <c r="I30" s="24" t="s">
        <v>24</v>
      </c>
      <c r="J30" s="24" t="s">
        <v>24</v>
      </c>
      <c r="K30" s="34" t="s">
        <v>24</v>
      </c>
    </row>
    <row r="31" spans="2:11" ht="15.75" thickTop="1"/>
  </sheetData>
  <mergeCells count="8">
    <mergeCell ref="B3:K3"/>
    <mergeCell ref="B4:K4"/>
    <mergeCell ref="J5:K5"/>
    <mergeCell ref="J6:K6"/>
    <mergeCell ref="B7:B8"/>
    <mergeCell ref="C7:E7"/>
    <mergeCell ref="F7:H7"/>
    <mergeCell ref="I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3:K31"/>
  <sheetViews>
    <sheetView workbookViewId="0">
      <selection activeCell="C7" sqref="C7:H7"/>
    </sheetView>
  </sheetViews>
  <sheetFormatPr defaultRowHeight="15"/>
  <cols>
    <col min="1" max="1" width="2.28515625" customWidth="1"/>
    <col min="2" max="2" width="19.140625" bestFit="1" customWidth="1"/>
    <col min="3" max="3" width="6.42578125" bestFit="1" customWidth="1"/>
    <col min="4" max="4" width="8.85546875" bestFit="1" customWidth="1"/>
    <col min="5" max="5" width="9.85546875" bestFit="1" customWidth="1"/>
    <col min="6" max="6" width="6.42578125" bestFit="1" customWidth="1"/>
    <col min="7" max="7" width="8.85546875" bestFit="1" customWidth="1"/>
    <col min="8" max="8" width="9.85546875" bestFit="1" customWidth="1"/>
    <col min="9" max="9" width="6.42578125" bestFit="1" customWidth="1"/>
    <col min="10" max="10" width="9.42578125" bestFit="1" customWidth="1"/>
    <col min="11" max="11" width="8.85546875" bestFit="1" customWidth="1"/>
    <col min="12" max="12" width="3.140625" customWidth="1"/>
  </cols>
  <sheetData>
    <row r="3" spans="2:11" ht="15.75">
      <c r="B3" s="64" t="s">
        <v>36</v>
      </c>
      <c r="C3" s="64"/>
      <c r="D3" s="64"/>
      <c r="E3" s="64"/>
      <c r="F3" s="64"/>
      <c r="G3" s="64"/>
      <c r="H3" s="64"/>
      <c r="I3" s="64"/>
      <c r="J3" s="64"/>
      <c r="K3" s="64"/>
    </row>
    <row r="4" spans="2:11" ht="15.75">
      <c r="B4" s="65" t="s">
        <v>27</v>
      </c>
      <c r="C4" s="65"/>
      <c r="D4" s="65"/>
      <c r="E4" s="65"/>
      <c r="F4" s="65"/>
      <c r="G4" s="65"/>
      <c r="H4" s="65"/>
      <c r="I4" s="65"/>
      <c r="J4" s="65"/>
      <c r="K4" s="65"/>
    </row>
    <row r="5" spans="2:11" ht="15.75">
      <c r="B5" s="36"/>
      <c r="C5" s="36"/>
      <c r="D5" s="36"/>
      <c r="E5" s="36"/>
      <c r="F5" s="36"/>
      <c r="G5" s="36"/>
      <c r="H5" s="36"/>
      <c r="I5" s="36"/>
      <c r="J5" s="58" t="s">
        <v>28</v>
      </c>
      <c r="K5" s="58"/>
    </row>
    <row r="6" spans="2:11" ht="14.25" customHeight="1" thickBot="1">
      <c r="B6" s="35"/>
      <c r="C6" s="35"/>
      <c r="D6" s="35"/>
      <c r="E6" s="35"/>
      <c r="F6" s="35"/>
      <c r="G6" s="35"/>
      <c r="H6" s="35"/>
      <c r="I6" s="35"/>
      <c r="J6" s="59" t="s">
        <v>29</v>
      </c>
      <c r="K6" s="59"/>
    </row>
    <row r="7" spans="2:11" ht="30.75" customHeight="1" thickTop="1" thickBot="1">
      <c r="B7" s="60" t="s">
        <v>0</v>
      </c>
      <c r="C7" s="62" t="s">
        <v>37</v>
      </c>
      <c r="D7" s="63"/>
      <c r="E7" s="63"/>
      <c r="F7" s="62" t="s">
        <v>38</v>
      </c>
      <c r="G7" s="63"/>
      <c r="H7" s="63"/>
      <c r="I7" s="61" t="s">
        <v>25</v>
      </c>
      <c r="J7" s="60"/>
      <c r="K7" s="60"/>
    </row>
    <row r="8" spans="2:11" ht="27" thickTop="1" thickBot="1">
      <c r="B8" s="60"/>
      <c r="C8" s="41" t="s">
        <v>1</v>
      </c>
      <c r="D8" s="40" t="s">
        <v>2</v>
      </c>
      <c r="E8" s="40" t="s">
        <v>3</v>
      </c>
      <c r="F8" s="41" t="s">
        <v>1</v>
      </c>
      <c r="G8" s="40" t="s">
        <v>2</v>
      </c>
      <c r="H8" s="40" t="s">
        <v>3</v>
      </c>
      <c r="I8" s="41" t="s">
        <v>1</v>
      </c>
      <c r="J8" s="40" t="s">
        <v>2</v>
      </c>
      <c r="K8" s="40" t="s">
        <v>3</v>
      </c>
    </row>
    <row r="9" spans="2:11" ht="22.5" customHeight="1" thickTop="1">
      <c r="B9" s="3" t="s">
        <v>4</v>
      </c>
      <c r="C9" s="4">
        <v>24</v>
      </c>
      <c r="D9" s="5">
        <v>643.29999999999995</v>
      </c>
      <c r="E9" s="6">
        <v>3.0879999999999996</v>
      </c>
      <c r="F9" s="4">
        <v>94</v>
      </c>
      <c r="G9" s="5">
        <v>1880.6</v>
      </c>
      <c r="H9" s="6">
        <v>9.5019999999999989</v>
      </c>
      <c r="I9" s="7">
        <f>C9-F9</f>
        <v>-70</v>
      </c>
      <c r="J9" s="8">
        <f>D9-G9</f>
        <v>-1237.3</v>
      </c>
      <c r="K9" s="9">
        <f>E9-H9</f>
        <v>-6.4139999999999997</v>
      </c>
    </row>
    <row r="10" spans="2:11" ht="22.5" customHeight="1">
      <c r="B10" s="10" t="s">
        <v>5</v>
      </c>
      <c r="C10" s="11">
        <v>1260</v>
      </c>
      <c r="D10" s="12">
        <v>36764</v>
      </c>
      <c r="E10" s="13">
        <v>137.63300000000001</v>
      </c>
      <c r="F10" s="11">
        <v>1592</v>
      </c>
      <c r="G10" s="12">
        <v>45184</v>
      </c>
      <c r="H10" s="13">
        <v>167.464</v>
      </c>
      <c r="I10" s="14">
        <f t="shared" ref="I10:K14" si="0">C10-F10</f>
        <v>-332</v>
      </c>
      <c r="J10" s="32">
        <f t="shared" si="0"/>
        <v>-8420</v>
      </c>
      <c r="K10" s="15">
        <f t="shared" si="0"/>
        <v>-29.830999999999989</v>
      </c>
    </row>
    <row r="11" spans="2:11" ht="22.5" customHeight="1">
      <c r="B11" s="10" t="s">
        <v>6</v>
      </c>
      <c r="C11" s="11">
        <v>8694</v>
      </c>
      <c r="D11" s="12">
        <v>260820</v>
      </c>
      <c r="E11" s="13">
        <v>1071.338</v>
      </c>
      <c r="F11" s="11">
        <v>8808</v>
      </c>
      <c r="G11" s="12">
        <v>264240</v>
      </c>
      <c r="H11" s="13">
        <v>924.81399999999985</v>
      </c>
      <c r="I11" s="14">
        <f t="shared" si="0"/>
        <v>-114</v>
      </c>
      <c r="J11" s="32">
        <f t="shared" si="0"/>
        <v>-3420</v>
      </c>
      <c r="K11" s="15">
        <f t="shared" si="0"/>
        <v>146.52400000000011</v>
      </c>
    </row>
    <row r="12" spans="2:11" ht="22.5" customHeight="1">
      <c r="B12" s="10" t="s">
        <v>7</v>
      </c>
      <c r="C12" s="11">
        <v>0</v>
      </c>
      <c r="D12" s="12">
        <v>0</v>
      </c>
      <c r="E12" s="13">
        <v>0</v>
      </c>
      <c r="F12" s="11">
        <v>0</v>
      </c>
      <c r="G12" s="12">
        <v>0</v>
      </c>
      <c r="H12" s="13">
        <v>0</v>
      </c>
      <c r="I12" s="14">
        <f t="shared" si="0"/>
        <v>0</v>
      </c>
      <c r="J12" s="32">
        <f t="shared" si="0"/>
        <v>0</v>
      </c>
      <c r="K12" s="15">
        <f t="shared" si="0"/>
        <v>0</v>
      </c>
    </row>
    <row r="13" spans="2:11" ht="22.5" customHeight="1">
      <c r="B13" s="10" t="s">
        <v>8</v>
      </c>
      <c r="C13" s="11">
        <v>584</v>
      </c>
      <c r="D13" s="12">
        <v>17520</v>
      </c>
      <c r="E13" s="13">
        <v>63.989000000000004</v>
      </c>
      <c r="F13" s="11">
        <v>116</v>
      </c>
      <c r="G13" s="12">
        <v>3480</v>
      </c>
      <c r="H13" s="13">
        <v>13.651000000000002</v>
      </c>
      <c r="I13" s="14">
        <f t="shared" si="0"/>
        <v>468</v>
      </c>
      <c r="J13" s="32">
        <f t="shared" si="0"/>
        <v>14040</v>
      </c>
      <c r="K13" s="15">
        <f t="shared" si="0"/>
        <v>50.338000000000001</v>
      </c>
    </row>
    <row r="14" spans="2:11" ht="22.5" customHeight="1" thickBot="1">
      <c r="B14" s="16" t="s">
        <v>9</v>
      </c>
      <c r="C14" s="17">
        <v>26250</v>
      </c>
      <c r="D14" s="18">
        <v>787500</v>
      </c>
      <c r="E14" s="19">
        <v>3416.7389999999996</v>
      </c>
      <c r="F14" s="17">
        <v>26050</v>
      </c>
      <c r="G14" s="18">
        <v>781500</v>
      </c>
      <c r="H14" s="19">
        <v>2978.8250000000003</v>
      </c>
      <c r="I14" s="29">
        <f t="shared" si="0"/>
        <v>200</v>
      </c>
      <c r="J14" s="33">
        <f t="shared" si="0"/>
        <v>6000</v>
      </c>
      <c r="K14" s="30">
        <f t="shared" si="0"/>
        <v>437.91399999999931</v>
      </c>
    </row>
    <row r="15" spans="2:11" ht="22.5" customHeight="1" thickTop="1" thickBot="1">
      <c r="B15" s="20" t="s">
        <v>10</v>
      </c>
      <c r="C15" s="21">
        <f t="shared" ref="C15:J15" si="1">SUM(C12:C14)</f>
        <v>26834</v>
      </c>
      <c r="D15" s="22">
        <f t="shared" si="1"/>
        <v>805020</v>
      </c>
      <c r="E15" s="23">
        <f t="shared" si="1"/>
        <v>3480.7279999999996</v>
      </c>
      <c r="F15" s="21">
        <f t="shared" si="1"/>
        <v>26166</v>
      </c>
      <c r="G15" s="22">
        <f t="shared" si="1"/>
        <v>784980</v>
      </c>
      <c r="H15" s="23">
        <f t="shared" si="1"/>
        <v>2992.4760000000001</v>
      </c>
      <c r="I15" s="21">
        <f>SUM(I12:I14)</f>
        <v>668</v>
      </c>
      <c r="J15" s="22">
        <f t="shared" si="1"/>
        <v>20040</v>
      </c>
      <c r="K15" s="23">
        <f>SUM(K12:K14)</f>
        <v>488.25199999999933</v>
      </c>
    </row>
    <row r="16" spans="2:11" ht="22.5" customHeight="1" thickTop="1">
      <c r="B16" s="26" t="s">
        <v>11</v>
      </c>
      <c r="C16" s="4">
        <v>32464</v>
      </c>
      <c r="D16" s="27">
        <v>973920</v>
      </c>
      <c r="E16" s="6">
        <v>6889.5829999999996</v>
      </c>
      <c r="F16" s="4">
        <v>27100</v>
      </c>
      <c r="G16" s="27">
        <v>813000</v>
      </c>
      <c r="H16" s="6">
        <v>5649.9750000000004</v>
      </c>
      <c r="I16" s="7">
        <f>C16-F16</f>
        <v>5364</v>
      </c>
      <c r="J16" s="8">
        <f>D16-G16</f>
        <v>160920</v>
      </c>
      <c r="K16" s="9">
        <f>E16-H16</f>
        <v>1239.6079999999993</v>
      </c>
    </row>
    <row r="17" spans="2:11" ht="22.5" customHeight="1">
      <c r="B17" s="26" t="s">
        <v>12</v>
      </c>
      <c r="C17" s="4">
        <v>1940</v>
      </c>
      <c r="D17" s="27">
        <v>58200</v>
      </c>
      <c r="E17" s="6">
        <v>97.876999999999995</v>
      </c>
      <c r="F17" s="4">
        <v>1720</v>
      </c>
      <c r="G17" s="27">
        <v>51600</v>
      </c>
      <c r="H17" s="6">
        <v>89.515000000000015</v>
      </c>
      <c r="I17" s="14">
        <f t="shared" ref="I17:K18" si="2">C17-F17</f>
        <v>220</v>
      </c>
      <c r="J17" s="32">
        <f t="shared" si="2"/>
        <v>6600</v>
      </c>
      <c r="K17" s="15">
        <f t="shared" si="2"/>
        <v>8.3619999999999806</v>
      </c>
    </row>
    <row r="18" spans="2:11" ht="22.5" customHeight="1" thickBot="1">
      <c r="B18" s="16" t="s">
        <v>13</v>
      </c>
      <c r="C18" s="17">
        <v>7382</v>
      </c>
      <c r="D18" s="18">
        <v>221460</v>
      </c>
      <c r="E18" s="19">
        <v>1221.1990000000001</v>
      </c>
      <c r="F18" s="17">
        <v>15136</v>
      </c>
      <c r="G18" s="18">
        <v>454080</v>
      </c>
      <c r="H18" s="19">
        <v>2025.4270000000001</v>
      </c>
      <c r="I18" s="29">
        <f t="shared" si="2"/>
        <v>-7754</v>
      </c>
      <c r="J18" s="33">
        <f t="shared" si="2"/>
        <v>-232620</v>
      </c>
      <c r="K18" s="30">
        <f t="shared" si="2"/>
        <v>-804.22800000000007</v>
      </c>
    </row>
    <row r="19" spans="2:11" ht="22.5" customHeight="1" thickTop="1" thickBot="1">
      <c r="B19" s="20" t="s">
        <v>14</v>
      </c>
      <c r="C19" s="21">
        <f>SUM(C16:C18)</f>
        <v>41786</v>
      </c>
      <c r="D19" s="22">
        <f t="shared" ref="D19:K19" si="3">SUM(D16:D18)</f>
        <v>1253580</v>
      </c>
      <c r="E19" s="23">
        <f t="shared" si="3"/>
        <v>8208.6589999999997</v>
      </c>
      <c r="F19" s="21">
        <f>SUM(F16:F18)</f>
        <v>43956</v>
      </c>
      <c r="G19" s="22">
        <f t="shared" si="3"/>
        <v>1318680</v>
      </c>
      <c r="H19" s="23">
        <f t="shared" si="3"/>
        <v>7764.9170000000013</v>
      </c>
      <c r="I19" s="21">
        <f t="shared" si="3"/>
        <v>-2170</v>
      </c>
      <c r="J19" s="22">
        <f t="shared" si="3"/>
        <v>-65100</v>
      </c>
      <c r="K19" s="23">
        <f t="shared" si="3"/>
        <v>443.74199999999928</v>
      </c>
    </row>
    <row r="20" spans="2:11" ht="22.5" customHeight="1" thickTop="1">
      <c r="B20" s="26" t="s">
        <v>15</v>
      </c>
      <c r="C20" s="4">
        <v>10704</v>
      </c>
      <c r="D20" s="27">
        <v>321120</v>
      </c>
      <c r="E20" s="6">
        <v>2382.4889999999996</v>
      </c>
      <c r="F20" s="4">
        <v>12302</v>
      </c>
      <c r="G20" s="27">
        <v>369060</v>
      </c>
      <c r="H20" s="6">
        <v>2079.8010000000004</v>
      </c>
      <c r="I20" s="7">
        <f>C20-F20</f>
        <v>-1598</v>
      </c>
      <c r="J20" s="8">
        <f>D20-G20</f>
        <v>-47940</v>
      </c>
      <c r="K20" s="9">
        <f>E20-H20</f>
        <v>302.68799999999919</v>
      </c>
    </row>
    <row r="21" spans="2:11" ht="22.5" customHeight="1">
      <c r="B21" s="26" t="s">
        <v>16</v>
      </c>
      <c r="C21" s="4">
        <v>0</v>
      </c>
      <c r="D21" s="12">
        <v>0</v>
      </c>
      <c r="E21" s="6">
        <v>0</v>
      </c>
      <c r="F21" s="4">
        <v>0</v>
      </c>
      <c r="G21" s="12">
        <v>0</v>
      </c>
      <c r="H21" s="6">
        <v>0</v>
      </c>
      <c r="I21" s="14">
        <f t="shared" ref="I21:K26" si="4">C21-F21</f>
        <v>0</v>
      </c>
      <c r="J21" s="32">
        <f t="shared" si="4"/>
        <v>0</v>
      </c>
      <c r="K21" s="15">
        <f t="shared" si="4"/>
        <v>0</v>
      </c>
    </row>
    <row r="22" spans="2:11" ht="22.5" customHeight="1">
      <c r="B22" s="10" t="s">
        <v>17</v>
      </c>
      <c r="C22" s="11">
        <v>127</v>
      </c>
      <c r="D22" s="12">
        <v>3624</v>
      </c>
      <c r="E22" s="13">
        <v>24.381</v>
      </c>
      <c r="F22" s="11">
        <v>0</v>
      </c>
      <c r="G22" s="12">
        <v>0</v>
      </c>
      <c r="H22" s="13">
        <v>0</v>
      </c>
      <c r="I22" s="14">
        <f t="shared" si="4"/>
        <v>127</v>
      </c>
      <c r="J22" s="32">
        <f t="shared" si="4"/>
        <v>3624</v>
      </c>
      <c r="K22" s="15">
        <f t="shared" si="4"/>
        <v>24.381</v>
      </c>
    </row>
    <row r="23" spans="2:11" ht="22.5" customHeight="1">
      <c r="B23" s="10" t="s">
        <v>18</v>
      </c>
      <c r="C23" s="11">
        <v>0</v>
      </c>
      <c r="D23" s="12">
        <v>0</v>
      </c>
      <c r="E23" s="13">
        <v>0</v>
      </c>
      <c r="F23" s="11">
        <v>428</v>
      </c>
      <c r="G23" s="12">
        <v>12840</v>
      </c>
      <c r="H23" s="13">
        <v>108.233</v>
      </c>
      <c r="I23" s="14">
        <f t="shared" si="4"/>
        <v>-428</v>
      </c>
      <c r="J23" s="32">
        <f t="shared" si="4"/>
        <v>-12840</v>
      </c>
      <c r="K23" s="15">
        <f t="shared" si="4"/>
        <v>-108.233</v>
      </c>
    </row>
    <row r="24" spans="2:11" ht="22.5" customHeight="1">
      <c r="B24" s="10" t="s">
        <v>19</v>
      </c>
      <c r="C24" s="11">
        <v>0</v>
      </c>
      <c r="D24" s="12">
        <v>0</v>
      </c>
      <c r="E24" s="13">
        <v>0</v>
      </c>
      <c r="F24" s="11">
        <v>0</v>
      </c>
      <c r="G24" s="12">
        <v>0</v>
      </c>
      <c r="H24" s="13">
        <v>0</v>
      </c>
      <c r="I24" s="14">
        <f t="shared" si="4"/>
        <v>0</v>
      </c>
      <c r="J24" s="32">
        <f t="shared" si="4"/>
        <v>0</v>
      </c>
      <c r="K24" s="15">
        <f t="shared" si="4"/>
        <v>0</v>
      </c>
    </row>
    <row r="25" spans="2:11" ht="22.5" customHeight="1">
      <c r="B25" s="10" t="s">
        <v>20</v>
      </c>
      <c r="C25" s="11">
        <v>106</v>
      </c>
      <c r="D25" s="12">
        <v>2544</v>
      </c>
      <c r="E25" s="13">
        <v>19.347000000000001</v>
      </c>
      <c r="F25" s="11">
        <v>170</v>
      </c>
      <c r="G25" s="12">
        <v>4080</v>
      </c>
      <c r="H25" s="13">
        <v>36.795999999999999</v>
      </c>
      <c r="I25" s="14">
        <f t="shared" si="4"/>
        <v>-64</v>
      </c>
      <c r="J25" s="32">
        <f t="shared" si="4"/>
        <v>-1536</v>
      </c>
      <c r="K25" s="15">
        <f t="shared" si="4"/>
        <v>-17.448999999999998</v>
      </c>
    </row>
    <row r="26" spans="2:11" ht="22.5" customHeight="1" thickBot="1">
      <c r="B26" s="28" t="s">
        <v>21</v>
      </c>
      <c r="C26" s="17">
        <v>1793</v>
      </c>
      <c r="D26" s="18">
        <v>43032</v>
      </c>
      <c r="E26" s="19">
        <v>262.923</v>
      </c>
      <c r="F26" s="17">
        <v>1323</v>
      </c>
      <c r="G26" s="18">
        <v>31752</v>
      </c>
      <c r="H26" s="19">
        <v>194.05800000000002</v>
      </c>
      <c r="I26" s="29">
        <f>C26-F26</f>
        <v>470</v>
      </c>
      <c r="J26" s="33">
        <f t="shared" si="4"/>
        <v>11280</v>
      </c>
      <c r="K26" s="30">
        <f t="shared" si="4"/>
        <v>68.864999999999981</v>
      </c>
    </row>
    <row r="27" spans="2:11" ht="22.5" customHeight="1" thickTop="1" thickBot="1">
      <c r="B27" s="20" t="s">
        <v>22</v>
      </c>
      <c r="C27" s="24">
        <f>SUM(C9:C14,C16:C18,C20:C26)</f>
        <v>91328</v>
      </c>
      <c r="D27" s="24">
        <f t="shared" ref="D27:H27" si="5">SUM(D9:D14,D16:D18,D20:D26)</f>
        <v>2727147.3</v>
      </c>
      <c r="E27" s="25">
        <f t="shared" si="5"/>
        <v>15590.585999999999</v>
      </c>
      <c r="F27" s="24">
        <f t="shared" si="5"/>
        <v>94839</v>
      </c>
      <c r="G27" s="24">
        <f t="shared" si="5"/>
        <v>2832696.6</v>
      </c>
      <c r="H27" s="25">
        <f t="shared" si="5"/>
        <v>14278.061</v>
      </c>
      <c r="I27" s="24">
        <f>SUM(I9:I14,I16:I18,I20:I26)</f>
        <v>-3511</v>
      </c>
      <c r="J27" s="24">
        <f>SUM(J9:J14,J16:J18,J20:J26)</f>
        <v>-105549.29999999999</v>
      </c>
      <c r="K27" s="25">
        <f>SUM(K9:K14,K16:K18,K20:K26)</f>
        <v>1312.524999999998</v>
      </c>
    </row>
    <row r="28" spans="2:11" ht="22.5" customHeight="1" thickTop="1" thickBot="1">
      <c r="B28" s="20" t="s">
        <v>23</v>
      </c>
      <c r="C28" s="24" t="s">
        <v>24</v>
      </c>
      <c r="D28" s="24" t="s">
        <v>24</v>
      </c>
      <c r="E28" s="25">
        <v>17199.939999999999</v>
      </c>
      <c r="F28" s="24" t="s">
        <v>24</v>
      </c>
      <c r="G28" s="24" t="s">
        <v>24</v>
      </c>
      <c r="H28" s="25">
        <v>11943.646000000001</v>
      </c>
      <c r="I28" s="24" t="s">
        <v>24</v>
      </c>
      <c r="J28" s="24" t="s">
        <v>24</v>
      </c>
      <c r="K28" s="25">
        <f>E28-H28</f>
        <v>5256.2939999999981</v>
      </c>
    </row>
    <row r="29" spans="2:11" ht="22.5" customHeight="1" thickTop="1" thickBot="1">
      <c r="B29" s="20" t="s">
        <v>25</v>
      </c>
      <c r="C29" s="24" t="s">
        <v>24</v>
      </c>
      <c r="D29" s="24" t="s">
        <v>24</v>
      </c>
      <c r="E29" s="25">
        <f>E27-E28</f>
        <v>-1609.3539999999994</v>
      </c>
      <c r="F29" s="24" t="s">
        <v>24</v>
      </c>
      <c r="G29" s="24" t="s">
        <v>24</v>
      </c>
      <c r="H29" s="25">
        <f>H27-H28</f>
        <v>2334.4149999999991</v>
      </c>
      <c r="I29" s="24" t="s">
        <v>24</v>
      </c>
      <c r="J29" s="24" t="s">
        <v>24</v>
      </c>
      <c r="K29" s="25" t="s">
        <v>24</v>
      </c>
    </row>
    <row r="30" spans="2:11" ht="22.5" customHeight="1" thickTop="1" thickBot="1">
      <c r="B30" s="20" t="s">
        <v>26</v>
      </c>
      <c r="C30" s="24" t="s">
        <v>24</v>
      </c>
      <c r="D30" s="24" t="s">
        <v>24</v>
      </c>
      <c r="E30" s="31">
        <f>E29/E28</f>
        <v>-9.3567419421230508E-2</v>
      </c>
      <c r="F30" s="24" t="s">
        <v>24</v>
      </c>
      <c r="G30" s="24" t="s">
        <v>24</v>
      </c>
      <c r="H30" s="31">
        <f>H29/H28</f>
        <v>0.19545246066402161</v>
      </c>
      <c r="I30" s="24" t="s">
        <v>24</v>
      </c>
      <c r="J30" s="24" t="s">
        <v>24</v>
      </c>
      <c r="K30" s="34" t="s">
        <v>24</v>
      </c>
    </row>
    <row r="31" spans="2:11" ht="15.75" thickTop="1"/>
  </sheetData>
  <mergeCells count="8">
    <mergeCell ref="B3:K3"/>
    <mergeCell ref="B4:K4"/>
    <mergeCell ref="J5:K5"/>
    <mergeCell ref="J6:K6"/>
    <mergeCell ref="B7:B8"/>
    <mergeCell ref="C7:E7"/>
    <mergeCell ref="F7:H7"/>
    <mergeCell ref="I7:K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29"/>
  <sheetViews>
    <sheetView workbookViewId="0">
      <selection activeCell="E8" sqref="E8"/>
    </sheetView>
  </sheetViews>
  <sheetFormatPr defaultRowHeight="15"/>
  <cols>
    <col min="1" max="1" width="3.28515625" style="45" customWidth="1"/>
    <col min="2" max="2" width="19.140625" style="45" bestFit="1" customWidth="1"/>
    <col min="3" max="3" width="6.42578125" style="44" bestFit="1" customWidth="1"/>
    <col min="4" max="4" width="8.85546875" style="44" bestFit="1" customWidth="1"/>
    <col min="5" max="5" width="10.42578125" style="44" bestFit="1" customWidth="1"/>
    <col min="6" max="6" width="6.5703125" style="44" bestFit="1" customWidth="1"/>
    <col min="7" max="7" width="8.85546875" style="44" bestFit="1" customWidth="1"/>
    <col min="8" max="8" width="9.85546875" style="44" bestFit="1" customWidth="1"/>
    <col min="9" max="9" width="6.5703125" style="44" bestFit="1" customWidth="1"/>
    <col min="10" max="10" width="8.5703125" style="44" customWidth="1"/>
    <col min="11" max="11" width="9.42578125" style="44" bestFit="1" customWidth="1"/>
    <col min="12" max="12" width="3.140625" style="45" customWidth="1"/>
    <col min="13" max="16384" width="9.140625" style="45"/>
  </cols>
  <sheetData>
    <row r="2" spans="2:11" s="44" customFormat="1" ht="17.25">
      <c r="B2" s="66" t="s">
        <v>42</v>
      </c>
      <c r="C2" s="66"/>
      <c r="D2" s="66"/>
      <c r="E2" s="66"/>
      <c r="F2" s="66"/>
      <c r="G2" s="66"/>
      <c r="H2" s="66"/>
      <c r="I2" s="66"/>
      <c r="J2" s="66"/>
      <c r="K2" s="66"/>
    </row>
    <row r="3" spans="2:11" ht="15.75" thickBot="1"/>
    <row r="4" spans="2:11" s="44" customFormat="1" ht="28.5" customHeight="1" thickTop="1" thickBot="1">
      <c r="B4" s="60" t="s">
        <v>0</v>
      </c>
      <c r="C4" s="62" t="s">
        <v>43</v>
      </c>
      <c r="D4" s="63"/>
      <c r="E4" s="63"/>
      <c r="F4" s="62" t="s">
        <v>44</v>
      </c>
      <c r="G4" s="63"/>
      <c r="H4" s="63"/>
      <c r="I4" s="61" t="s">
        <v>25</v>
      </c>
      <c r="J4" s="60"/>
      <c r="K4" s="60"/>
    </row>
    <row r="5" spans="2:11" s="44" customFormat="1" ht="27" thickTop="1" thickBot="1">
      <c r="B5" s="60"/>
      <c r="C5" s="43" t="s">
        <v>1</v>
      </c>
      <c r="D5" s="42" t="s">
        <v>2</v>
      </c>
      <c r="E5" s="42" t="s">
        <v>3</v>
      </c>
      <c r="F5" s="43" t="s">
        <v>1</v>
      </c>
      <c r="G5" s="42" t="s">
        <v>2</v>
      </c>
      <c r="H5" s="42" t="s">
        <v>3</v>
      </c>
      <c r="I5" s="43" t="s">
        <v>1</v>
      </c>
      <c r="J5" s="42" t="s">
        <v>2</v>
      </c>
      <c r="K5" s="42" t="s">
        <v>3</v>
      </c>
    </row>
    <row r="6" spans="2:11" s="44" customFormat="1" ht="24.75" customHeight="1" thickTop="1">
      <c r="B6" s="3" t="s">
        <v>4</v>
      </c>
      <c r="C6" s="4">
        <v>20</v>
      </c>
      <c r="D6" s="5">
        <v>562.9</v>
      </c>
      <c r="E6" s="6">
        <v>2.6799999999999997</v>
      </c>
      <c r="F6" s="46">
        <v>76</v>
      </c>
      <c r="G6" s="5">
        <v>1518.9799999999998</v>
      </c>
      <c r="H6" s="47">
        <v>7.6839999999999993</v>
      </c>
      <c r="I6" s="7">
        <f t="shared" ref="I6:K11" si="0">C6-F6</f>
        <v>-56</v>
      </c>
      <c r="J6" s="8">
        <f t="shared" si="0"/>
        <v>-956.07999999999981</v>
      </c>
      <c r="K6" s="9">
        <f t="shared" si="0"/>
        <v>-5.0039999999999996</v>
      </c>
    </row>
    <row r="7" spans="2:11" s="44" customFormat="1" ht="24.75" customHeight="1">
      <c r="B7" s="10" t="s">
        <v>5</v>
      </c>
      <c r="C7" s="11">
        <v>1002</v>
      </c>
      <c r="D7" s="12">
        <v>29540</v>
      </c>
      <c r="E7" s="13">
        <v>114.274</v>
      </c>
      <c r="F7" s="48">
        <v>1206</v>
      </c>
      <c r="G7" s="12">
        <v>34376</v>
      </c>
      <c r="H7" s="49">
        <v>136.6</v>
      </c>
      <c r="I7" s="14">
        <f t="shared" si="0"/>
        <v>-204</v>
      </c>
      <c r="J7" s="12">
        <f t="shared" si="0"/>
        <v>-4836</v>
      </c>
      <c r="K7" s="15">
        <f t="shared" si="0"/>
        <v>-22.325999999999993</v>
      </c>
    </row>
    <row r="8" spans="2:11" s="44" customFormat="1" ht="24.75" customHeight="1">
      <c r="B8" s="10" t="s">
        <v>6</v>
      </c>
      <c r="C8" s="11">
        <v>7300</v>
      </c>
      <c r="D8" s="12">
        <v>219000</v>
      </c>
      <c r="E8" s="13">
        <v>889.05200000000002</v>
      </c>
      <c r="F8" s="48">
        <v>7120</v>
      </c>
      <c r="G8" s="12">
        <v>213600</v>
      </c>
      <c r="H8" s="49">
        <v>747.4799999999999</v>
      </c>
      <c r="I8" s="14">
        <f t="shared" si="0"/>
        <v>180</v>
      </c>
      <c r="J8" s="12">
        <f t="shared" si="0"/>
        <v>5400</v>
      </c>
      <c r="K8" s="15">
        <f t="shared" si="0"/>
        <v>141.57200000000012</v>
      </c>
    </row>
    <row r="9" spans="2:11" s="44" customFormat="1" ht="24.75" customHeight="1">
      <c r="B9" s="10" t="s">
        <v>7</v>
      </c>
      <c r="C9" s="11">
        <v>0</v>
      </c>
      <c r="D9" s="12">
        <v>0</v>
      </c>
      <c r="E9" s="13">
        <v>0</v>
      </c>
      <c r="F9" s="48">
        <v>0</v>
      </c>
      <c r="G9" s="12">
        <v>0</v>
      </c>
      <c r="H9" s="49">
        <v>0</v>
      </c>
      <c r="I9" s="14">
        <f t="shared" si="0"/>
        <v>0</v>
      </c>
      <c r="J9" s="12">
        <f t="shared" si="0"/>
        <v>0</v>
      </c>
      <c r="K9" s="15">
        <f t="shared" si="0"/>
        <v>0</v>
      </c>
    </row>
    <row r="10" spans="2:11" s="44" customFormat="1" ht="24.75" customHeight="1">
      <c r="B10" s="10" t="s">
        <v>8</v>
      </c>
      <c r="C10" s="11">
        <v>398</v>
      </c>
      <c r="D10" s="12">
        <v>11940</v>
      </c>
      <c r="E10" s="13">
        <v>47.585000000000001</v>
      </c>
      <c r="F10" s="48">
        <v>80</v>
      </c>
      <c r="G10" s="12">
        <v>2400</v>
      </c>
      <c r="H10" s="49">
        <v>9.2250000000000014</v>
      </c>
      <c r="I10" s="14">
        <f t="shared" si="0"/>
        <v>318</v>
      </c>
      <c r="J10" s="12">
        <f t="shared" si="0"/>
        <v>9540</v>
      </c>
      <c r="K10" s="15">
        <f t="shared" si="0"/>
        <v>38.36</v>
      </c>
    </row>
    <row r="11" spans="2:11" s="44" customFormat="1" ht="24.75" customHeight="1" thickBot="1">
      <c r="B11" s="16" t="s">
        <v>9</v>
      </c>
      <c r="C11" s="17">
        <v>21824</v>
      </c>
      <c r="D11" s="18">
        <v>654720</v>
      </c>
      <c r="E11" s="19">
        <v>2817.8490000000002</v>
      </c>
      <c r="F11" s="50">
        <v>22667</v>
      </c>
      <c r="G11" s="18">
        <v>680010</v>
      </c>
      <c r="H11" s="51">
        <v>2598.2780000000002</v>
      </c>
      <c r="I11" s="14">
        <f t="shared" si="0"/>
        <v>-843</v>
      </c>
      <c r="J11" s="12">
        <f t="shared" si="0"/>
        <v>-25290</v>
      </c>
      <c r="K11" s="15">
        <f t="shared" si="0"/>
        <v>219.57099999999991</v>
      </c>
    </row>
    <row r="12" spans="2:11" s="52" customFormat="1" ht="24.75" customHeight="1" thickTop="1" thickBot="1">
      <c r="B12" s="20" t="s">
        <v>10</v>
      </c>
      <c r="C12" s="21">
        <f t="shared" ref="C12:I12" si="1">SUM(C9:C11)</f>
        <v>22222</v>
      </c>
      <c r="D12" s="22">
        <f t="shared" si="1"/>
        <v>666660</v>
      </c>
      <c r="E12" s="23">
        <f t="shared" si="1"/>
        <v>2865.4340000000002</v>
      </c>
      <c r="F12" s="21">
        <f t="shared" si="1"/>
        <v>22747</v>
      </c>
      <c r="G12" s="22">
        <f t="shared" si="1"/>
        <v>682410</v>
      </c>
      <c r="H12" s="23">
        <f t="shared" si="1"/>
        <v>2607.5030000000002</v>
      </c>
      <c r="I12" s="21">
        <f t="shared" si="1"/>
        <v>-525</v>
      </c>
      <c r="J12" s="22">
        <f t="shared" ref="J12" si="2">SUM(J9:J11)</f>
        <v>-15750</v>
      </c>
      <c r="K12" s="23">
        <f>SUM(K9:K11)</f>
        <v>257.93099999999993</v>
      </c>
    </row>
    <row r="13" spans="2:11" s="44" customFormat="1" ht="24.75" customHeight="1" thickTop="1">
      <c r="B13" s="26" t="s">
        <v>11</v>
      </c>
      <c r="C13" s="4">
        <v>26330</v>
      </c>
      <c r="D13" s="27">
        <v>789900</v>
      </c>
      <c r="E13" s="6">
        <v>5591.6769999999997</v>
      </c>
      <c r="F13" s="46">
        <v>22574</v>
      </c>
      <c r="G13" s="27">
        <v>677220</v>
      </c>
      <c r="H13" s="47">
        <v>4714.884</v>
      </c>
      <c r="I13" s="14">
        <f t="shared" ref="I13:K15" si="3">C13-F13</f>
        <v>3756</v>
      </c>
      <c r="J13" s="12">
        <f t="shared" si="3"/>
        <v>112680</v>
      </c>
      <c r="K13" s="15">
        <f t="shared" si="3"/>
        <v>876.79299999999967</v>
      </c>
    </row>
    <row r="14" spans="2:11" s="44" customFormat="1" ht="24.75" customHeight="1">
      <c r="B14" s="26" t="s">
        <v>12</v>
      </c>
      <c r="C14" s="4">
        <v>1940</v>
      </c>
      <c r="D14" s="27">
        <v>58200</v>
      </c>
      <c r="E14" s="6">
        <v>97.882999999999996</v>
      </c>
      <c r="F14" s="46">
        <v>1720</v>
      </c>
      <c r="G14" s="27">
        <v>51600</v>
      </c>
      <c r="H14" s="47">
        <v>89.515000000000015</v>
      </c>
      <c r="I14" s="14">
        <f t="shared" si="3"/>
        <v>220</v>
      </c>
      <c r="J14" s="12">
        <f t="shared" si="3"/>
        <v>6600</v>
      </c>
      <c r="K14" s="15">
        <f t="shared" si="3"/>
        <v>8.3679999999999808</v>
      </c>
    </row>
    <row r="15" spans="2:11" s="44" customFormat="1" ht="24.75" customHeight="1" thickBot="1">
      <c r="B15" s="16" t="s">
        <v>13</v>
      </c>
      <c r="C15" s="17">
        <v>6190</v>
      </c>
      <c r="D15" s="18">
        <v>185700</v>
      </c>
      <c r="E15" s="19">
        <v>1011.199</v>
      </c>
      <c r="F15" s="50">
        <v>12386</v>
      </c>
      <c r="G15" s="18">
        <v>371580</v>
      </c>
      <c r="H15" s="51">
        <v>1645.2550000000001</v>
      </c>
      <c r="I15" s="14">
        <f t="shared" si="3"/>
        <v>-6196</v>
      </c>
      <c r="J15" s="12">
        <f t="shared" si="3"/>
        <v>-185880</v>
      </c>
      <c r="K15" s="15">
        <f t="shared" si="3"/>
        <v>-634.05600000000015</v>
      </c>
    </row>
    <row r="16" spans="2:11" s="52" customFormat="1" ht="24.75" customHeight="1" thickTop="1" thickBot="1">
      <c r="B16" s="20" t="s">
        <v>14</v>
      </c>
      <c r="C16" s="21">
        <f t="shared" ref="C16:K16" si="4">SUM(C13:C15)</f>
        <v>34460</v>
      </c>
      <c r="D16" s="22">
        <f t="shared" si="4"/>
        <v>1033800</v>
      </c>
      <c r="E16" s="23">
        <f t="shared" si="4"/>
        <v>6700.7589999999991</v>
      </c>
      <c r="F16" s="21">
        <f t="shared" si="4"/>
        <v>36680</v>
      </c>
      <c r="G16" s="22">
        <f t="shared" si="4"/>
        <v>1100400</v>
      </c>
      <c r="H16" s="23">
        <f t="shared" si="4"/>
        <v>6449.6540000000005</v>
      </c>
      <c r="I16" s="21">
        <f t="shared" si="4"/>
        <v>-2220</v>
      </c>
      <c r="J16" s="22">
        <f t="shared" si="4"/>
        <v>-66600</v>
      </c>
      <c r="K16" s="23">
        <f t="shared" si="4"/>
        <v>251.10499999999945</v>
      </c>
    </row>
    <row r="17" spans="2:12" s="44" customFormat="1" ht="24" customHeight="1" thickTop="1">
      <c r="B17" s="26" t="s">
        <v>15</v>
      </c>
      <c r="C17" s="4">
        <v>8964</v>
      </c>
      <c r="D17" s="27">
        <v>268920</v>
      </c>
      <c r="E17" s="6">
        <v>1892.1609999999998</v>
      </c>
      <c r="F17" s="46">
        <v>10102</v>
      </c>
      <c r="G17" s="27">
        <v>303060</v>
      </c>
      <c r="H17" s="47">
        <v>1709.9160000000002</v>
      </c>
      <c r="I17" s="7">
        <f t="shared" ref="I17:K23" si="5">C17-F17</f>
        <v>-1138</v>
      </c>
      <c r="J17" s="8">
        <f t="shared" si="5"/>
        <v>-34140</v>
      </c>
      <c r="K17" s="9">
        <f t="shared" si="5"/>
        <v>182.24499999999966</v>
      </c>
    </row>
    <row r="18" spans="2:12" s="44" customFormat="1" ht="24" customHeight="1">
      <c r="B18" s="26" t="s">
        <v>16</v>
      </c>
      <c r="C18" s="4">
        <v>0</v>
      </c>
      <c r="D18" s="12">
        <v>0</v>
      </c>
      <c r="E18" s="6">
        <v>0</v>
      </c>
      <c r="F18" s="48">
        <v>0</v>
      </c>
      <c r="G18" s="12">
        <v>0</v>
      </c>
      <c r="H18" s="47">
        <v>0</v>
      </c>
      <c r="I18" s="14">
        <f t="shared" si="5"/>
        <v>0</v>
      </c>
      <c r="J18" s="12">
        <f t="shared" si="5"/>
        <v>0</v>
      </c>
      <c r="K18" s="15">
        <f t="shared" si="5"/>
        <v>0</v>
      </c>
    </row>
    <row r="19" spans="2:12" s="44" customFormat="1" ht="24" customHeight="1">
      <c r="B19" s="10" t="s">
        <v>17</v>
      </c>
      <c r="C19" s="11">
        <v>31</v>
      </c>
      <c r="D19" s="12">
        <v>744</v>
      </c>
      <c r="E19" s="13">
        <v>4.0999999999999996</v>
      </c>
      <c r="F19" s="48">
        <v>0</v>
      </c>
      <c r="G19" s="12">
        <v>0</v>
      </c>
      <c r="H19" s="49">
        <v>0</v>
      </c>
      <c r="I19" s="14">
        <f t="shared" si="5"/>
        <v>31</v>
      </c>
      <c r="J19" s="12">
        <f t="shared" si="5"/>
        <v>744</v>
      </c>
      <c r="K19" s="15">
        <f t="shared" si="5"/>
        <v>4.0999999999999996</v>
      </c>
    </row>
    <row r="20" spans="2:12" s="44" customFormat="1" ht="24" customHeight="1">
      <c r="B20" s="10" t="s">
        <v>18</v>
      </c>
      <c r="C20" s="11">
        <v>0</v>
      </c>
      <c r="D20" s="12">
        <v>0</v>
      </c>
      <c r="E20" s="13">
        <v>0</v>
      </c>
      <c r="F20" s="48">
        <v>428</v>
      </c>
      <c r="G20" s="12">
        <v>12840</v>
      </c>
      <c r="H20" s="49">
        <v>108.233</v>
      </c>
      <c r="I20" s="14">
        <f t="shared" si="5"/>
        <v>-428</v>
      </c>
      <c r="J20" s="12">
        <f t="shared" si="5"/>
        <v>-12840</v>
      </c>
      <c r="K20" s="15">
        <f t="shared" si="5"/>
        <v>-108.233</v>
      </c>
    </row>
    <row r="21" spans="2:12" s="44" customFormat="1" ht="24" customHeight="1">
      <c r="B21" s="10" t="s">
        <v>19</v>
      </c>
      <c r="C21" s="11">
        <v>0</v>
      </c>
      <c r="D21" s="12">
        <v>0</v>
      </c>
      <c r="E21" s="13">
        <v>0</v>
      </c>
      <c r="F21" s="48">
        <v>0</v>
      </c>
      <c r="G21" s="12">
        <v>0</v>
      </c>
      <c r="H21" s="49">
        <v>0</v>
      </c>
      <c r="I21" s="14">
        <f t="shared" si="5"/>
        <v>0</v>
      </c>
      <c r="J21" s="12">
        <f t="shared" si="5"/>
        <v>0</v>
      </c>
      <c r="K21" s="15">
        <f t="shared" si="5"/>
        <v>0</v>
      </c>
    </row>
    <row r="22" spans="2:12" s="44" customFormat="1" ht="24" customHeight="1">
      <c r="B22" s="10" t="s">
        <v>20</v>
      </c>
      <c r="C22" s="11">
        <v>26</v>
      </c>
      <c r="D22" s="12">
        <v>624</v>
      </c>
      <c r="E22" s="13">
        <v>5.3949999999999996</v>
      </c>
      <c r="F22" s="48">
        <v>152</v>
      </c>
      <c r="G22" s="12">
        <v>3648</v>
      </c>
      <c r="H22" s="49">
        <v>34.122</v>
      </c>
      <c r="I22" s="14">
        <f t="shared" si="5"/>
        <v>-126</v>
      </c>
      <c r="J22" s="12">
        <f t="shared" si="5"/>
        <v>-3024</v>
      </c>
      <c r="K22" s="15">
        <f t="shared" si="5"/>
        <v>-28.727</v>
      </c>
    </row>
    <row r="23" spans="2:12" s="44" customFormat="1" ht="24" customHeight="1" thickBot="1">
      <c r="B23" s="28" t="s">
        <v>21</v>
      </c>
      <c r="C23" s="17">
        <v>1661</v>
      </c>
      <c r="D23" s="18">
        <v>39864</v>
      </c>
      <c r="E23" s="19">
        <v>243.46499999999997</v>
      </c>
      <c r="F23" s="50">
        <v>1024</v>
      </c>
      <c r="G23" s="18">
        <v>24576</v>
      </c>
      <c r="H23" s="51">
        <v>150.69600000000003</v>
      </c>
      <c r="I23" s="14">
        <f t="shared" si="5"/>
        <v>637</v>
      </c>
      <c r="J23" s="12">
        <f t="shared" si="5"/>
        <v>15288</v>
      </c>
      <c r="K23" s="15">
        <f t="shared" si="5"/>
        <v>92.768999999999949</v>
      </c>
    </row>
    <row r="24" spans="2:12" s="44" customFormat="1" ht="24" customHeight="1" thickTop="1" thickBot="1">
      <c r="B24" s="20" t="s">
        <v>22</v>
      </c>
      <c r="C24" s="24">
        <f>SUM(C6:C11,C13:C15,C17:C23)</f>
        <v>75686</v>
      </c>
      <c r="D24" s="24">
        <f t="shared" ref="D24:H24" si="6">SUM(D6:D11,D13:D15,D17:D23)</f>
        <v>2259714.9</v>
      </c>
      <c r="E24" s="25">
        <f t="shared" si="6"/>
        <v>12717.320000000002</v>
      </c>
      <c r="F24" s="24">
        <f t="shared" si="6"/>
        <v>79535</v>
      </c>
      <c r="G24" s="24">
        <f t="shared" si="6"/>
        <v>2376428.98</v>
      </c>
      <c r="H24" s="25">
        <f t="shared" si="6"/>
        <v>11951.887999999999</v>
      </c>
      <c r="I24" s="24">
        <f>SUM(I6:I11,I13:I15,I17:I23)</f>
        <v>-3849</v>
      </c>
      <c r="J24" s="24">
        <f>SUM(J6:J11,J13:J15,J17:J23)</f>
        <v>-116714.08000000002</v>
      </c>
      <c r="K24" s="25">
        <f>SUM(K6:K11,K13:K15,K17:K23)</f>
        <v>765.43199999999911</v>
      </c>
    </row>
    <row r="25" spans="2:12" s="44" customFormat="1" ht="24" customHeight="1" thickTop="1" thickBot="1">
      <c r="B25" s="20" t="s">
        <v>23</v>
      </c>
      <c r="C25" s="24" t="s">
        <v>24</v>
      </c>
      <c r="D25" s="24" t="s">
        <v>24</v>
      </c>
      <c r="E25" s="25">
        <v>14302.124</v>
      </c>
      <c r="F25" s="24" t="s">
        <v>24</v>
      </c>
      <c r="G25" s="24" t="s">
        <v>24</v>
      </c>
      <c r="H25" s="25">
        <v>9637.8140000000003</v>
      </c>
      <c r="I25" s="24" t="s">
        <v>24</v>
      </c>
      <c r="J25" s="24" t="s">
        <v>24</v>
      </c>
      <c r="K25" s="25">
        <f>E25-H25</f>
        <v>4664.3099999999995</v>
      </c>
    </row>
    <row r="26" spans="2:12" s="44" customFormat="1" ht="24" customHeight="1" thickTop="1" thickBot="1">
      <c r="B26" s="20" t="s">
        <v>25</v>
      </c>
      <c r="C26" s="24" t="s">
        <v>24</v>
      </c>
      <c r="D26" s="24" t="s">
        <v>24</v>
      </c>
      <c r="E26" s="25">
        <f>E24-E25</f>
        <v>-1584.8039999999983</v>
      </c>
      <c r="F26" s="24" t="s">
        <v>24</v>
      </c>
      <c r="G26" s="24" t="s">
        <v>24</v>
      </c>
      <c r="H26" s="25">
        <f>H24-H25</f>
        <v>2314.0739999999987</v>
      </c>
      <c r="I26" s="24" t="s">
        <v>24</v>
      </c>
      <c r="J26" s="24" t="s">
        <v>24</v>
      </c>
      <c r="K26" s="25" t="s">
        <v>24</v>
      </c>
    </row>
    <row r="27" spans="2:12" s="44" customFormat="1" ht="24" customHeight="1" thickTop="1" thickBot="1">
      <c r="B27" s="20" t="s">
        <v>26</v>
      </c>
      <c r="C27" s="24" t="s">
        <v>24</v>
      </c>
      <c r="D27" s="24" t="s">
        <v>24</v>
      </c>
      <c r="E27" s="31">
        <f>E26/E25</f>
        <v>-0.11080899592256355</v>
      </c>
      <c r="F27" s="24" t="s">
        <v>24</v>
      </c>
      <c r="G27" s="24" t="s">
        <v>24</v>
      </c>
      <c r="H27" s="31">
        <f>H26/H25</f>
        <v>0.24010361685751547</v>
      </c>
      <c r="I27" s="24" t="s">
        <v>24</v>
      </c>
      <c r="J27" s="24" t="s">
        <v>24</v>
      </c>
      <c r="K27" s="34" t="s">
        <v>24</v>
      </c>
    </row>
    <row r="28" spans="2:12" ht="15.75" thickTop="1"/>
    <row r="29" spans="2:12" s="44" customFormat="1">
      <c r="B29" s="45"/>
      <c r="L29" s="45"/>
    </row>
  </sheetData>
  <mergeCells count="5">
    <mergeCell ref="B2:K2"/>
    <mergeCell ref="B4:B5"/>
    <mergeCell ref="C4:E4"/>
    <mergeCell ref="F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JUL-APR</vt:lpstr>
      <vt:lpstr>JUL-MAR</vt:lpstr>
      <vt:lpstr>JUL-FEB</vt:lpstr>
      <vt:lpstr>JUL-JAN</vt:lpstr>
      <vt:lpstr>JUL-DEC</vt:lpstr>
      <vt:lpstr>JUL-NOV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Musharraf</dc:creator>
  <cp:lastModifiedBy>Musharraf</cp:lastModifiedBy>
  <cp:lastPrinted>2026-02-04T05:18:37Z</cp:lastPrinted>
  <dcterms:created xsi:type="dcterms:W3CDTF">2025-09-01T18:46:13Z</dcterms:created>
  <dcterms:modified xsi:type="dcterms:W3CDTF">2026-05-08T05:37:18Z</dcterms:modified>
</cp:coreProperties>
</file>
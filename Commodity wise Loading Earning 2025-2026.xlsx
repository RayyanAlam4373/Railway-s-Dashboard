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56" i="1"/>
  <c r="W50"/>
  <c r="T49"/>
  <c r="T51" s="1"/>
  <c r="T52" s="1"/>
  <c r="R49"/>
  <c r="Q49"/>
  <c r="Q51" s="1"/>
  <c r="Q52" s="1"/>
  <c r="O49"/>
  <c r="N49"/>
  <c r="N51" s="1"/>
  <c r="N52" s="1"/>
  <c r="L49"/>
  <c r="K49"/>
  <c r="K51" s="1"/>
  <c r="K52" s="1"/>
  <c r="I49"/>
  <c r="H49"/>
  <c r="H51" s="1"/>
  <c r="H52" s="1"/>
  <c r="F49"/>
  <c r="E49"/>
  <c r="E51" s="1"/>
  <c r="E52" s="1"/>
  <c r="C49"/>
  <c r="W48"/>
  <c r="U48"/>
  <c r="S48"/>
  <c r="P48"/>
  <c r="M48"/>
  <c r="J48"/>
  <c r="G48"/>
  <c r="D48"/>
  <c r="W47"/>
  <c r="U47"/>
  <c r="S47"/>
  <c r="P47"/>
  <c r="M47"/>
  <c r="J47"/>
  <c r="G47"/>
  <c r="D47"/>
  <c r="W46"/>
  <c r="U46"/>
  <c r="S46"/>
  <c r="P46"/>
  <c r="M46"/>
  <c r="J46"/>
  <c r="G46"/>
  <c r="D46"/>
  <c r="W45"/>
  <c r="U45"/>
  <c r="S45"/>
  <c r="P45"/>
  <c r="M45"/>
  <c r="J45"/>
  <c r="G45"/>
  <c r="D45"/>
  <c r="W44"/>
  <c r="U44"/>
  <c r="S44"/>
  <c r="P44"/>
  <c r="M44"/>
  <c r="J44"/>
  <c r="G44"/>
  <c r="D44"/>
  <c r="W43"/>
  <c r="U43"/>
  <c r="S43"/>
  <c r="P43"/>
  <c r="M43"/>
  <c r="J43"/>
  <c r="G43"/>
  <c r="D43"/>
  <c r="W42"/>
  <c r="U42"/>
  <c r="S42"/>
  <c r="P42"/>
  <c r="M42"/>
  <c r="J42"/>
  <c r="G42"/>
  <c r="D42"/>
  <c r="T41"/>
  <c r="R41"/>
  <c r="Q41"/>
  <c r="O41"/>
  <c r="N41"/>
  <c r="L41"/>
  <c r="K41"/>
  <c r="I41"/>
  <c r="H41"/>
  <c r="F41"/>
  <c r="E41"/>
  <c r="C41"/>
  <c r="W40"/>
  <c r="U40"/>
  <c r="S40"/>
  <c r="P40"/>
  <c r="M40"/>
  <c r="J40"/>
  <c r="G40"/>
  <c r="D40"/>
  <c r="W39"/>
  <c r="U39"/>
  <c r="S39"/>
  <c r="P39"/>
  <c r="M39"/>
  <c r="J39"/>
  <c r="G39"/>
  <c r="D39"/>
  <c r="W38"/>
  <c r="W41" s="1"/>
  <c r="U38"/>
  <c r="U41" s="1"/>
  <c r="S38"/>
  <c r="S41" s="1"/>
  <c r="P38"/>
  <c r="P41" s="1"/>
  <c r="M38"/>
  <c r="M41" s="1"/>
  <c r="J38"/>
  <c r="J41" s="1"/>
  <c r="G38"/>
  <c r="G41" s="1"/>
  <c r="D38"/>
  <c r="D41" s="1"/>
  <c r="T37"/>
  <c r="R37"/>
  <c r="Q37"/>
  <c r="O37"/>
  <c r="N37"/>
  <c r="L37"/>
  <c r="K37"/>
  <c r="I37"/>
  <c r="H37"/>
  <c r="F37"/>
  <c r="E37"/>
  <c r="C37"/>
  <c r="W36"/>
  <c r="U36"/>
  <c r="S36"/>
  <c r="P36"/>
  <c r="M36"/>
  <c r="J36"/>
  <c r="G36"/>
  <c r="D36"/>
  <c r="W35"/>
  <c r="U35"/>
  <c r="S35"/>
  <c r="P35"/>
  <c r="M35"/>
  <c r="J35"/>
  <c r="G35"/>
  <c r="D35"/>
  <c r="W34"/>
  <c r="W37" s="1"/>
  <c r="U34"/>
  <c r="U37" s="1"/>
  <c r="S34"/>
  <c r="S37" s="1"/>
  <c r="P34"/>
  <c r="P37" s="1"/>
  <c r="M34"/>
  <c r="M37" s="1"/>
  <c r="J34"/>
  <c r="J37" s="1"/>
  <c r="G34"/>
  <c r="G37" s="1"/>
  <c r="D34"/>
  <c r="D37" s="1"/>
  <c r="W33"/>
  <c r="U33"/>
  <c r="S33"/>
  <c r="P33"/>
  <c r="M33"/>
  <c r="J33"/>
  <c r="G33"/>
  <c r="D33"/>
  <c r="W32"/>
  <c r="U32"/>
  <c r="S32"/>
  <c r="S49" s="1"/>
  <c r="P32"/>
  <c r="P49" s="1"/>
  <c r="M32"/>
  <c r="M49" s="1"/>
  <c r="J32"/>
  <c r="J49" s="1"/>
  <c r="G32"/>
  <c r="G49" s="1"/>
  <c r="D32"/>
  <c r="D49" s="1"/>
  <c r="W31"/>
  <c r="W49" s="1"/>
  <c r="W51" s="1"/>
  <c r="W52" s="1"/>
  <c r="V31"/>
  <c r="U31"/>
  <c r="U49" s="1"/>
  <c r="W25"/>
  <c r="T24"/>
  <c r="T26" s="1"/>
  <c r="T27" s="1"/>
  <c r="R24"/>
  <c r="Q24"/>
  <c r="Q26" s="1"/>
  <c r="Q27" s="1"/>
  <c r="O24"/>
  <c r="N24"/>
  <c r="N26" s="1"/>
  <c r="N27" s="1"/>
  <c r="L24"/>
  <c r="K24"/>
  <c r="K26" s="1"/>
  <c r="K27" s="1"/>
  <c r="I24"/>
  <c r="H24"/>
  <c r="H26" s="1"/>
  <c r="H27" s="1"/>
  <c r="F24"/>
  <c r="E24"/>
  <c r="E26" s="1"/>
  <c r="E27" s="1"/>
  <c r="C24"/>
  <c r="W23"/>
  <c r="U23"/>
  <c r="S23"/>
  <c r="P23"/>
  <c r="M23"/>
  <c r="J23"/>
  <c r="G23"/>
  <c r="D23"/>
  <c r="V48" s="1"/>
  <c r="W22"/>
  <c r="U22"/>
  <c r="S22"/>
  <c r="P22"/>
  <c r="M22"/>
  <c r="V22" s="1"/>
  <c r="J22"/>
  <c r="G22"/>
  <c r="D22"/>
  <c r="V47" s="1"/>
  <c r="W21"/>
  <c r="U21"/>
  <c r="S21"/>
  <c r="P21"/>
  <c r="M21"/>
  <c r="J21"/>
  <c r="G21"/>
  <c r="D21"/>
  <c r="V46" s="1"/>
  <c r="W20"/>
  <c r="U20"/>
  <c r="S20"/>
  <c r="P20"/>
  <c r="M20"/>
  <c r="J20"/>
  <c r="G20"/>
  <c r="D20"/>
  <c r="V45" s="1"/>
  <c r="W19"/>
  <c r="U19"/>
  <c r="S19"/>
  <c r="P19"/>
  <c r="M19"/>
  <c r="J19"/>
  <c r="G19"/>
  <c r="D19"/>
  <c r="V44" s="1"/>
  <c r="W18"/>
  <c r="U18"/>
  <c r="S18"/>
  <c r="P18"/>
  <c r="M18"/>
  <c r="V18" s="1"/>
  <c r="J18"/>
  <c r="G18"/>
  <c r="D18"/>
  <c r="V43" s="1"/>
  <c r="W17"/>
  <c r="U17"/>
  <c r="S17"/>
  <c r="P17"/>
  <c r="M17"/>
  <c r="J17"/>
  <c r="G17"/>
  <c r="D17"/>
  <c r="V42" s="1"/>
  <c r="T16"/>
  <c r="R16"/>
  <c r="Q16"/>
  <c r="O16"/>
  <c r="N16"/>
  <c r="L16"/>
  <c r="K16"/>
  <c r="I16"/>
  <c r="H16"/>
  <c r="F16"/>
  <c r="E16"/>
  <c r="W16" s="1"/>
  <c r="C16"/>
  <c r="U16" s="1"/>
  <c r="W15"/>
  <c r="U15"/>
  <c r="S15"/>
  <c r="P15"/>
  <c r="M15"/>
  <c r="J15"/>
  <c r="G15"/>
  <c r="D15"/>
  <c r="V40" s="1"/>
  <c r="W14"/>
  <c r="U14"/>
  <c r="S14"/>
  <c r="P14"/>
  <c r="M14"/>
  <c r="V14" s="1"/>
  <c r="J14"/>
  <c r="G14"/>
  <c r="D14"/>
  <c r="V39" s="1"/>
  <c r="W13"/>
  <c r="U13"/>
  <c r="S13"/>
  <c r="S16" s="1"/>
  <c r="P13"/>
  <c r="P16" s="1"/>
  <c r="M13"/>
  <c r="M16" s="1"/>
  <c r="J13"/>
  <c r="J16" s="1"/>
  <c r="G13"/>
  <c r="G16" s="1"/>
  <c r="D13"/>
  <c r="D16" s="1"/>
  <c r="T12"/>
  <c r="R12"/>
  <c r="Q12"/>
  <c r="O12"/>
  <c r="N12"/>
  <c r="L12"/>
  <c r="K12"/>
  <c r="I12"/>
  <c r="H12"/>
  <c r="F12"/>
  <c r="E12"/>
  <c r="W12" s="1"/>
  <c r="C12"/>
  <c r="U12" s="1"/>
  <c r="W11"/>
  <c r="U11"/>
  <c r="S11"/>
  <c r="P11"/>
  <c r="M11"/>
  <c r="J11"/>
  <c r="G11"/>
  <c r="D11"/>
  <c r="V36" s="1"/>
  <c r="W10"/>
  <c r="V10"/>
  <c r="U10"/>
  <c r="S10"/>
  <c r="P10"/>
  <c r="M10"/>
  <c r="J10"/>
  <c r="G10"/>
  <c r="D10"/>
  <c r="V35" s="1"/>
  <c r="W9"/>
  <c r="U9"/>
  <c r="S9"/>
  <c r="S12" s="1"/>
  <c r="P9"/>
  <c r="P12" s="1"/>
  <c r="M9"/>
  <c r="M12" s="1"/>
  <c r="J9"/>
  <c r="J12" s="1"/>
  <c r="G9"/>
  <c r="G12" s="1"/>
  <c r="D9"/>
  <c r="D12" s="1"/>
  <c r="W8"/>
  <c r="U8"/>
  <c r="S8"/>
  <c r="P8"/>
  <c r="M8"/>
  <c r="J8"/>
  <c r="G8"/>
  <c r="D8"/>
  <c r="V33" s="1"/>
  <c r="W7"/>
  <c r="U7"/>
  <c r="S7"/>
  <c r="S24" s="1"/>
  <c r="P7"/>
  <c r="P24" s="1"/>
  <c r="M7"/>
  <c r="M24" s="1"/>
  <c r="J7"/>
  <c r="J24" s="1"/>
  <c r="G7"/>
  <c r="G24" s="1"/>
  <c r="D7"/>
  <c r="D24" s="1"/>
  <c r="W6"/>
  <c r="W24" s="1"/>
  <c r="W26" s="1"/>
  <c r="W27" s="1"/>
  <c r="V6"/>
  <c r="U6"/>
  <c r="U24" s="1"/>
  <c r="V16" l="1"/>
  <c r="V12"/>
  <c r="V9"/>
  <c r="V13"/>
  <c r="V17"/>
  <c r="V21"/>
  <c r="V34"/>
  <c r="V37" s="1"/>
  <c r="V38"/>
  <c r="V41" s="1"/>
  <c r="V8"/>
  <c r="V20"/>
  <c r="V7"/>
  <c r="V24" s="1"/>
  <c r="V11"/>
  <c r="V15"/>
  <c r="V19"/>
  <c r="V23"/>
  <c r="V32"/>
  <c r="V49" s="1"/>
</calcChain>
</file>

<file path=xl/sharedStrings.xml><?xml version="1.0" encoding="utf-8"?>
<sst xmlns="http://schemas.openxmlformats.org/spreadsheetml/2006/main" count="188" uniqueCount="44">
  <si>
    <t>COMMODITY WISE LOADING, EARNING AND TONNAGE  
JULY - APRIL (2025 - 2026)</t>
  </si>
  <si>
    <t>Wagon are Units</t>
  </si>
  <si>
    <t>Commodity</t>
  </si>
  <si>
    <t>2025-2026
(JULY-2025)</t>
  </si>
  <si>
    <t>2025-2026
(AUGUST 2025)</t>
  </si>
  <si>
    <t>2025-2026
(SEPTEMBER 2025)</t>
  </si>
  <si>
    <t>2025-2026
(OCTOBER  2025 )</t>
  </si>
  <si>
    <t>2025-2026
(NOVEMBER 2025 )</t>
  </si>
  <si>
    <t>2025-2026
( DECEMBER 2025 )</t>
  </si>
  <si>
    <t>Total
(JUL TO DEC 2025-2026)</t>
  </si>
  <si>
    <t>No. of Wagon</t>
  </si>
  <si>
    <t>Tonnage</t>
  </si>
  <si>
    <t>Freight</t>
  </si>
  <si>
    <t>P.O.L</t>
  </si>
  <si>
    <t>Fertilizer</t>
  </si>
  <si>
    <t>R/Phosphate</t>
  </si>
  <si>
    <t>GITA Contaienr</t>
  </si>
  <si>
    <t>Dry Port (Container)</t>
  </si>
  <si>
    <t>Local Container (NB)</t>
  </si>
  <si>
    <t>TOTAL CONTAINER</t>
  </si>
  <si>
    <t>YSW / Coal</t>
  </si>
  <si>
    <t>AKDD / Coal</t>
  </si>
  <si>
    <t>Other Than YSW / Coal</t>
  </si>
  <si>
    <t>TOTAL  COAL</t>
  </si>
  <si>
    <t>Cargo Express</t>
  </si>
  <si>
    <t>Wheat</t>
  </si>
  <si>
    <t>Rape Seeds</t>
  </si>
  <si>
    <t>Steel Coils</t>
  </si>
  <si>
    <t>PTA</t>
  </si>
  <si>
    <t>Military Store</t>
  </si>
  <si>
    <t>Others</t>
  </si>
  <si>
    <t>Total</t>
  </si>
  <si>
    <t>Budget</t>
  </si>
  <si>
    <t>-</t>
  </si>
  <si>
    <t>Variation</t>
  </si>
  <si>
    <t>Percentage</t>
  </si>
  <si>
    <t>2025-2026
(JANUARY 2026)</t>
  </si>
  <si>
    <t>2025-2026
(FEBRUARY 2026)</t>
  </si>
  <si>
    <t>2025-2026
(MARCH 2026)</t>
  </si>
  <si>
    <t>2025-2026
(APRIL 2026)</t>
  </si>
  <si>
    <t>2025-2026
(MAY  2026 )</t>
  </si>
  <si>
    <t>2025-2026
(JUNE  2026)</t>
  </si>
  <si>
    <t>Total
JUL TO APRIL (2025-2026)</t>
  </si>
  <si>
    <t>GITA Container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</si>
</sst>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%"/>
  </numFmts>
  <fonts count="9"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u/>
      <sz val="13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3" fontId="6" fillId="0" borderId="4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19" xfId="0" applyFont="1" applyBorder="1" applyAlignment="1">
      <alignment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165" fontId="6" fillId="0" borderId="22" xfId="0" applyNumberFormat="1" applyFont="1" applyBorder="1" applyAlignment="1">
      <alignment horizontal="center" vertical="center"/>
    </xf>
    <xf numFmtId="3" fontId="7" fillId="0" borderId="23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3" fontId="7" fillId="0" borderId="20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5" fillId="0" borderId="25" xfId="0" applyNumberFormat="1" applyFont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165" fontId="5" fillId="0" borderId="27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8" xfId="0" applyFont="1" applyBorder="1" applyAlignment="1">
      <alignment vertical="center"/>
    </xf>
    <xf numFmtId="3" fontId="6" fillId="0" borderId="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21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3" fontId="7" fillId="0" borderId="29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6" fontId="8" fillId="0" borderId="2" xfId="0" quotePrefix="1" applyNumberFormat="1" applyFont="1" applyBorder="1" applyAlignment="1">
      <alignment horizontal="center" vertical="center"/>
    </xf>
    <xf numFmtId="3" fontId="4" fillId="0" borderId="31" xfId="0" applyNumberFormat="1" applyFont="1" applyBorder="1" applyAlignment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3" fontId="4" fillId="0" borderId="26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9" fontId="8" fillId="0" borderId="2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B56"/>
  <sheetViews>
    <sheetView tabSelected="1" workbookViewId="0">
      <selection activeCell="H9" sqref="H9"/>
    </sheetView>
  </sheetViews>
  <sheetFormatPr defaultRowHeight="18" customHeight="1"/>
  <cols>
    <col min="1" max="1" width="3.28515625" style="1" customWidth="1"/>
    <col min="2" max="2" width="19.140625" style="1" bestFit="1" customWidth="1"/>
    <col min="3" max="3" width="6.42578125" style="2" bestFit="1" customWidth="1"/>
    <col min="4" max="4" width="7.7109375" style="2" bestFit="1" customWidth="1"/>
    <col min="5" max="5" width="10.42578125" style="2" bestFit="1" customWidth="1"/>
    <col min="6" max="6" width="6.5703125" style="2" bestFit="1" customWidth="1"/>
    <col min="7" max="7" width="7.85546875" style="2" bestFit="1" customWidth="1"/>
    <col min="8" max="8" width="9" style="2" bestFit="1" customWidth="1"/>
    <col min="9" max="9" width="6.5703125" style="2" bestFit="1" customWidth="1"/>
    <col min="10" max="10" width="8.5703125" style="2" customWidth="1"/>
    <col min="11" max="11" width="8.85546875" style="2" bestFit="1" customWidth="1"/>
    <col min="12" max="12" width="7.5703125" style="2" bestFit="1" customWidth="1"/>
    <col min="13" max="13" width="7.7109375" style="2" bestFit="1" customWidth="1"/>
    <col min="14" max="14" width="9.42578125" style="2" bestFit="1" customWidth="1"/>
    <col min="15" max="15" width="6.5703125" style="2" bestFit="1" customWidth="1"/>
    <col min="16" max="16" width="7.7109375" style="2" bestFit="1" customWidth="1"/>
    <col min="17" max="17" width="8.85546875" style="2" bestFit="1" customWidth="1"/>
    <col min="18" max="18" width="7.7109375" style="2" bestFit="1" customWidth="1"/>
    <col min="19" max="19" width="7.5703125" style="2" bestFit="1" customWidth="1"/>
    <col min="20" max="20" width="8.85546875" style="2" bestFit="1" customWidth="1"/>
    <col min="21" max="21" width="7.7109375" style="2" bestFit="1" customWidth="1"/>
    <col min="22" max="22" width="8.85546875" style="2" bestFit="1" customWidth="1"/>
    <col min="23" max="23" width="9.85546875" style="2" bestFit="1" customWidth="1"/>
    <col min="24" max="24" width="3.28515625" style="2" customWidth="1"/>
    <col min="25" max="27" width="9.140625" style="1"/>
    <col min="28" max="28" width="9.7109375" style="1" bestFit="1" customWidth="1"/>
    <col min="29" max="16384" width="9.140625" style="1"/>
  </cols>
  <sheetData>
    <row r="2" spans="2:26" s="2" customFormat="1" ht="18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2:26" ht="18" customHeight="1" thickBot="1">
      <c r="V3" s="4" t="s">
        <v>1</v>
      </c>
      <c r="W3" s="4"/>
    </row>
    <row r="4" spans="2:26" s="2" customFormat="1" ht="29.25" customHeight="1" thickTop="1" thickBot="1">
      <c r="B4" s="5" t="s">
        <v>2</v>
      </c>
      <c r="C4" s="6" t="s">
        <v>3</v>
      </c>
      <c r="D4" s="7"/>
      <c r="E4" s="7"/>
      <c r="F4" s="8" t="s">
        <v>4</v>
      </c>
      <c r="G4" s="5"/>
      <c r="H4" s="5"/>
      <c r="I4" s="8" t="s">
        <v>5</v>
      </c>
      <c r="J4" s="5"/>
      <c r="K4" s="5"/>
      <c r="L4" s="8" t="s">
        <v>6</v>
      </c>
      <c r="M4" s="5"/>
      <c r="N4" s="5"/>
      <c r="O4" s="8" t="s">
        <v>7</v>
      </c>
      <c r="P4" s="5"/>
      <c r="Q4" s="5"/>
      <c r="R4" s="8" t="s">
        <v>8</v>
      </c>
      <c r="S4" s="5"/>
      <c r="T4" s="5"/>
      <c r="U4" s="8" t="s">
        <v>9</v>
      </c>
      <c r="V4" s="5"/>
      <c r="W4" s="5"/>
    </row>
    <row r="5" spans="2:26" s="2" customFormat="1" ht="18" customHeight="1" thickTop="1" thickBot="1">
      <c r="B5" s="5"/>
      <c r="C5" s="9" t="s">
        <v>10</v>
      </c>
      <c r="D5" s="10" t="s">
        <v>11</v>
      </c>
      <c r="E5" s="10" t="s">
        <v>12</v>
      </c>
      <c r="F5" s="9" t="s">
        <v>10</v>
      </c>
      <c r="G5" s="10" t="s">
        <v>11</v>
      </c>
      <c r="H5" s="10" t="s">
        <v>12</v>
      </c>
      <c r="I5" s="9" t="s">
        <v>10</v>
      </c>
      <c r="J5" s="10" t="s">
        <v>11</v>
      </c>
      <c r="K5" s="10" t="s">
        <v>12</v>
      </c>
      <c r="L5" s="9" t="s">
        <v>10</v>
      </c>
      <c r="M5" s="10" t="s">
        <v>11</v>
      </c>
      <c r="N5" s="10" t="s">
        <v>12</v>
      </c>
      <c r="O5" s="9" t="s">
        <v>10</v>
      </c>
      <c r="P5" s="10" t="s">
        <v>11</v>
      </c>
      <c r="Q5" s="10" t="s">
        <v>12</v>
      </c>
      <c r="R5" s="9" t="s">
        <v>10</v>
      </c>
      <c r="S5" s="10" t="s">
        <v>11</v>
      </c>
      <c r="T5" s="10" t="s">
        <v>12</v>
      </c>
      <c r="U5" s="9" t="s">
        <v>10</v>
      </c>
      <c r="V5" s="10" t="s">
        <v>11</v>
      </c>
      <c r="W5" s="10" t="s">
        <v>12</v>
      </c>
    </row>
    <row r="6" spans="2:26" s="2" customFormat="1" ht="18" customHeight="1" thickTop="1">
      <c r="B6" s="11" t="s">
        <v>13</v>
      </c>
      <c r="C6" s="12">
        <v>2</v>
      </c>
      <c r="D6" s="13">
        <v>40.200000000000003</v>
      </c>
      <c r="E6" s="14">
        <v>0.20399999999999999</v>
      </c>
      <c r="F6" s="15">
        <v>2</v>
      </c>
      <c r="G6" s="13">
        <v>40.200000000000003</v>
      </c>
      <c r="H6" s="16">
        <v>0.20399999999999999</v>
      </c>
      <c r="I6" s="17">
        <v>2</v>
      </c>
      <c r="J6" s="18">
        <v>40.200000000000003</v>
      </c>
      <c r="K6" s="19">
        <v>0.20399999999999999</v>
      </c>
      <c r="L6" s="17">
        <v>8</v>
      </c>
      <c r="M6" s="20">
        <v>322</v>
      </c>
      <c r="N6" s="19">
        <v>1.4570000000000001</v>
      </c>
      <c r="O6" s="17">
        <v>6</v>
      </c>
      <c r="P6" s="18">
        <v>120.3</v>
      </c>
      <c r="Q6" s="19">
        <v>0.61099999999999999</v>
      </c>
      <c r="R6" s="17">
        <v>4</v>
      </c>
      <c r="S6" s="18">
        <v>80.400000000000006</v>
      </c>
      <c r="T6" s="19">
        <v>0.40799999999999997</v>
      </c>
      <c r="U6" s="21">
        <f>SUM(C6,F6,I6,L6,O6,R6)</f>
        <v>24</v>
      </c>
      <c r="V6" s="21">
        <f>SUM(D6,G6,J6,M6,P6,S6)</f>
        <v>643.29999999999995</v>
      </c>
      <c r="W6" s="22">
        <f>SUM(E6,H6,K6,N6,Q6,T6)</f>
        <v>3.0879999999999996</v>
      </c>
    </row>
    <row r="7" spans="2:26" s="2" customFormat="1" ht="18" customHeight="1">
      <c r="B7" s="23" t="s">
        <v>14</v>
      </c>
      <c r="C7" s="24">
        <v>224</v>
      </c>
      <c r="D7" s="25">
        <f>C7*30</f>
        <v>6720</v>
      </c>
      <c r="E7" s="26">
        <v>26.608000000000001</v>
      </c>
      <c r="F7" s="27">
        <v>144</v>
      </c>
      <c r="G7" s="25">
        <f>F7*30</f>
        <v>4320</v>
      </c>
      <c r="H7" s="28">
        <v>19.167999999999999</v>
      </c>
      <c r="I7" s="29">
        <v>164</v>
      </c>
      <c r="J7" s="25">
        <f>I7*30</f>
        <v>4920</v>
      </c>
      <c r="K7" s="30">
        <v>18.984999999999999</v>
      </c>
      <c r="L7" s="29">
        <v>210</v>
      </c>
      <c r="M7" s="25">
        <f>L7*30</f>
        <v>6300</v>
      </c>
      <c r="N7" s="30">
        <v>25.059000000000001</v>
      </c>
      <c r="O7" s="29">
        <v>260</v>
      </c>
      <c r="P7" s="25">
        <f>O7*28</f>
        <v>7280</v>
      </c>
      <c r="Q7" s="30">
        <v>24.454000000000001</v>
      </c>
      <c r="R7" s="29">
        <v>258</v>
      </c>
      <c r="S7" s="25">
        <f>R7*28</f>
        <v>7224</v>
      </c>
      <c r="T7" s="30">
        <v>23.359000000000002</v>
      </c>
      <c r="U7" s="31">
        <f t="shared" ref="U7:W11" si="0">SUM(C7,F7,I7,L7,O7,R7)</f>
        <v>1260</v>
      </c>
      <c r="V7" s="31">
        <f t="shared" si="0"/>
        <v>36764</v>
      </c>
      <c r="W7" s="32">
        <f t="shared" si="0"/>
        <v>137.63300000000001</v>
      </c>
      <c r="Z7" s="33"/>
    </row>
    <row r="8" spans="2:26" s="2" customFormat="1" ht="18" customHeight="1">
      <c r="B8" s="23" t="s">
        <v>15</v>
      </c>
      <c r="C8" s="24">
        <v>1316</v>
      </c>
      <c r="D8" s="25">
        <f>C8*30</f>
        <v>39480</v>
      </c>
      <c r="E8" s="26">
        <v>155.13900000000001</v>
      </c>
      <c r="F8" s="27">
        <v>1566</v>
      </c>
      <c r="G8" s="25">
        <f>F8*30</f>
        <v>46980</v>
      </c>
      <c r="H8" s="28">
        <v>187.22499999999999</v>
      </c>
      <c r="I8" s="29">
        <v>1386</v>
      </c>
      <c r="J8" s="25">
        <f>I8*30</f>
        <v>41580</v>
      </c>
      <c r="K8" s="30">
        <v>167.815</v>
      </c>
      <c r="L8" s="29">
        <v>1492</v>
      </c>
      <c r="M8" s="25">
        <f>L8*30</f>
        <v>44760</v>
      </c>
      <c r="N8" s="30">
        <v>180.49799999999999</v>
      </c>
      <c r="O8" s="29">
        <v>1540</v>
      </c>
      <c r="P8" s="25">
        <f>O8*30</f>
        <v>46200</v>
      </c>
      <c r="Q8" s="30">
        <v>198.375</v>
      </c>
      <c r="R8" s="29">
        <v>1394</v>
      </c>
      <c r="S8" s="25">
        <f>R8*30</f>
        <v>41820</v>
      </c>
      <c r="T8" s="30">
        <v>182.286</v>
      </c>
      <c r="U8" s="31">
        <f t="shared" si="0"/>
        <v>8694</v>
      </c>
      <c r="V8" s="31">
        <f t="shared" si="0"/>
        <v>260820</v>
      </c>
      <c r="W8" s="32">
        <f t="shared" si="0"/>
        <v>1071.338</v>
      </c>
    </row>
    <row r="9" spans="2:26" s="2" customFormat="1" ht="18" customHeight="1">
      <c r="B9" s="23" t="s">
        <v>16</v>
      </c>
      <c r="C9" s="24">
        <v>0</v>
      </c>
      <c r="D9" s="25">
        <f>C9*30</f>
        <v>0</v>
      </c>
      <c r="E9" s="26">
        <v>0</v>
      </c>
      <c r="F9" s="27">
        <v>0</v>
      </c>
      <c r="G9" s="25">
        <f>F9*30</f>
        <v>0</v>
      </c>
      <c r="H9" s="28">
        <v>0</v>
      </c>
      <c r="I9" s="29">
        <v>0</v>
      </c>
      <c r="J9" s="25">
        <f>I9*30</f>
        <v>0</v>
      </c>
      <c r="K9" s="30">
        <v>0</v>
      </c>
      <c r="L9" s="29">
        <v>0</v>
      </c>
      <c r="M9" s="25">
        <f>L9*30</f>
        <v>0</v>
      </c>
      <c r="N9" s="30">
        <v>0</v>
      </c>
      <c r="O9" s="29">
        <v>0</v>
      </c>
      <c r="P9" s="25">
        <f>O9*30</f>
        <v>0</v>
      </c>
      <c r="Q9" s="30">
        <v>0</v>
      </c>
      <c r="R9" s="29">
        <v>0</v>
      </c>
      <c r="S9" s="25">
        <f>R9*30</f>
        <v>0</v>
      </c>
      <c r="T9" s="30">
        <v>0</v>
      </c>
      <c r="U9" s="31">
        <f t="shared" si="0"/>
        <v>0</v>
      </c>
      <c r="V9" s="31">
        <f t="shared" si="0"/>
        <v>0</v>
      </c>
      <c r="W9" s="32">
        <f t="shared" si="0"/>
        <v>0</v>
      </c>
    </row>
    <row r="10" spans="2:26" s="2" customFormat="1" ht="18" customHeight="1">
      <c r="B10" s="23" t="s">
        <v>17</v>
      </c>
      <c r="C10" s="24">
        <v>238</v>
      </c>
      <c r="D10" s="25">
        <f t="shared" ref="D10:D21" si="1">C10*30</f>
        <v>7140</v>
      </c>
      <c r="E10" s="26">
        <v>31.193000000000001</v>
      </c>
      <c r="F10" s="27">
        <v>74</v>
      </c>
      <c r="G10" s="25">
        <f t="shared" ref="G10:G21" si="2">F10*30</f>
        <v>2220</v>
      </c>
      <c r="H10" s="28">
        <v>9.8450000000000006</v>
      </c>
      <c r="I10" s="29">
        <v>0</v>
      </c>
      <c r="J10" s="25">
        <f t="shared" ref="J10:J11" si="3">I10*30</f>
        <v>0</v>
      </c>
      <c r="K10" s="30">
        <v>0</v>
      </c>
      <c r="L10" s="29">
        <v>86</v>
      </c>
      <c r="M10" s="25">
        <f t="shared" ref="M10:M11" si="4">L10*30</f>
        <v>2580</v>
      </c>
      <c r="N10" s="30">
        <v>6.5469999999999997</v>
      </c>
      <c r="O10" s="29">
        <v>0</v>
      </c>
      <c r="P10" s="25">
        <f t="shared" ref="P10:P11" si="5">O10*30</f>
        <v>0</v>
      </c>
      <c r="Q10" s="30">
        <v>0</v>
      </c>
      <c r="R10" s="29">
        <v>186</v>
      </c>
      <c r="S10" s="25">
        <f t="shared" ref="S10:S11" si="6">R10*30</f>
        <v>5580</v>
      </c>
      <c r="T10" s="30">
        <v>16.404</v>
      </c>
      <c r="U10" s="31">
        <f t="shared" si="0"/>
        <v>584</v>
      </c>
      <c r="V10" s="31">
        <f t="shared" si="0"/>
        <v>17520</v>
      </c>
      <c r="W10" s="32">
        <f t="shared" si="0"/>
        <v>63.989000000000004</v>
      </c>
    </row>
    <row r="11" spans="2:26" s="2" customFormat="1" ht="18" customHeight="1" thickBot="1">
      <c r="B11" s="34" t="s">
        <v>18</v>
      </c>
      <c r="C11" s="35">
        <v>3938</v>
      </c>
      <c r="D11" s="36">
        <f t="shared" si="1"/>
        <v>118140</v>
      </c>
      <c r="E11" s="37">
        <v>498.32</v>
      </c>
      <c r="F11" s="38">
        <v>4186</v>
      </c>
      <c r="G11" s="36">
        <f t="shared" si="2"/>
        <v>125580</v>
      </c>
      <c r="H11" s="39">
        <v>532.61300000000006</v>
      </c>
      <c r="I11" s="40">
        <v>4264</v>
      </c>
      <c r="J11" s="36">
        <f t="shared" si="3"/>
        <v>127920</v>
      </c>
      <c r="K11" s="41">
        <v>541.06399999999996</v>
      </c>
      <c r="L11" s="40">
        <v>4652</v>
      </c>
      <c r="M11" s="36">
        <f t="shared" si="4"/>
        <v>139560</v>
      </c>
      <c r="N11" s="41">
        <v>588.56399999999996</v>
      </c>
      <c r="O11" s="40">
        <v>4784</v>
      </c>
      <c r="P11" s="36">
        <f t="shared" si="5"/>
        <v>143520</v>
      </c>
      <c r="Q11" s="41">
        <v>657.28800000000001</v>
      </c>
      <c r="R11" s="40">
        <v>4426</v>
      </c>
      <c r="S11" s="36">
        <f t="shared" si="6"/>
        <v>132780</v>
      </c>
      <c r="T11" s="41">
        <v>598.89</v>
      </c>
      <c r="U11" s="31">
        <f t="shared" si="0"/>
        <v>26250</v>
      </c>
      <c r="V11" s="31">
        <f t="shared" si="0"/>
        <v>787500</v>
      </c>
      <c r="W11" s="32">
        <f t="shared" si="0"/>
        <v>3416.7389999999996</v>
      </c>
    </row>
    <row r="12" spans="2:26" s="48" customFormat="1" ht="18" customHeight="1" thickTop="1" thickBot="1">
      <c r="B12" s="42" t="s">
        <v>19</v>
      </c>
      <c r="C12" s="43">
        <f t="shared" ref="C12:T12" si="7">SUM(C9:C11)</f>
        <v>4176</v>
      </c>
      <c r="D12" s="44">
        <f t="shared" si="7"/>
        <v>125280</v>
      </c>
      <c r="E12" s="45">
        <f t="shared" si="7"/>
        <v>529.51300000000003</v>
      </c>
      <c r="F12" s="43">
        <f t="shared" si="7"/>
        <v>4260</v>
      </c>
      <c r="G12" s="44">
        <f t="shared" si="7"/>
        <v>127800</v>
      </c>
      <c r="H12" s="45">
        <f t="shared" si="7"/>
        <v>542.45800000000008</v>
      </c>
      <c r="I12" s="43">
        <f>SUM(I9:I11)</f>
        <v>4264</v>
      </c>
      <c r="J12" s="44">
        <f t="shared" si="7"/>
        <v>127920</v>
      </c>
      <c r="K12" s="45">
        <f>SUM(K9:K11)</f>
        <v>541.06399999999996</v>
      </c>
      <c r="L12" s="43">
        <f t="shared" si="7"/>
        <v>4738</v>
      </c>
      <c r="M12" s="44">
        <f t="shared" si="7"/>
        <v>142140</v>
      </c>
      <c r="N12" s="45">
        <f t="shared" si="7"/>
        <v>595.11099999999999</v>
      </c>
      <c r="O12" s="43">
        <f t="shared" si="7"/>
        <v>4784</v>
      </c>
      <c r="P12" s="44">
        <f t="shared" si="7"/>
        <v>143520</v>
      </c>
      <c r="Q12" s="45">
        <f t="shared" si="7"/>
        <v>657.28800000000001</v>
      </c>
      <c r="R12" s="43">
        <f t="shared" si="7"/>
        <v>4612</v>
      </c>
      <c r="S12" s="44">
        <f t="shared" si="7"/>
        <v>138360</v>
      </c>
      <c r="T12" s="45">
        <f t="shared" si="7"/>
        <v>615.29399999999998</v>
      </c>
      <c r="U12" s="46">
        <f>SUM(C12,F12,I12,L12,O12,R12)</f>
        <v>26834</v>
      </c>
      <c r="V12" s="46">
        <f>SUM(D12,G12,J12,M12,P12,S12)</f>
        <v>805020</v>
      </c>
      <c r="W12" s="47">
        <f>SUM(E12,H12,K12,N12,Q12,T12)</f>
        <v>3480.7279999999996</v>
      </c>
    </row>
    <row r="13" spans="2:26" s="2" customFormat="1" ht="18" customHeight="1" thickTop="1">
      <c r="B13" s="49" t="s">
        <v>20</v>
      </c>
      <c r="C13" s="12">
        <v>5816</v>
      </c>
      <c r="D13" s="50">
        <f t="shared" si="1"/>
        <v>174480</v>
      </c>
      <c r="E13" s="14">
        <v>1237.874</v>
      </c>
      <c r="F13" s="15">
        <v>5898</v>
      </c>
      <c r="G13" s="50">
        <f>F13*30</f>
        <v>176940</v>
      </c>
      <c r="H13" s="16">
        <v>1256.672</v>
      </c>
      <c r="I13" s="51">
        <v>4944</v>
      </c>
      <c r="J13" s="50">
        <f>I13*30</f>
        <v>148320</v>
      </c>
      <c r="K13" s="52">
        <v>1040.4469999999999</v>
      </c>
      <c r="L13" s="51">
        <v>4900</v>
      </c>
      <c r="M13" s="50">
        <f>L13*30</f>
        <v>147000</v>
      </c>
      <c r="N13" s="52">
        <v>1036.78</v>
      </c>
      <c r="O13" s="51">
        <v>4772</v>
      </c>
      <c r="P13" s="50">
        <f>O13*30</f>
        <v>143160</v>
      </c>
      <c r="Q13" s="52">
        <v>1019.904</v>
      </c>
      <c r="R13" s="51">
        <v>6134</v>
      </c>
      <c r="S13" s="53">
        <f t="shared" ref="S13:S15" si="8">R13*30</f>
        <v>184020</v>
      </c>
      <c r="T13" s="52">
        <v>1297.9059999999999</v>
      </c>
      <c r="U13" s="31">
        <f t="shared" ref="U13:W16" si="9">SUM(C13,F13,I13,L13,O13,R13)</f>
        <v>32464</v>
      </c>
      <c r="V13" s="31">
        <f t="shared" si="9"/>
        <v>973920</v>
      </c>
      <c r="W13" s="32">
        <f t="shared" si="9"/>
        <v>6889.5829999999996</v>
      </c>
    </row>
    <row r="14" spans="2:26" s="2" customFormat="1" ht="18" customHeight="1">
      <c r="B14" s="49" t="s">
        <v>21</v>
      </c>
      <c r="C14" s="12">
        <v>200</v>
      </c>
      <c r="D14" s="50">
        <f t="shared" si="1"/>
        <v>6000</v>
      </c>
      <c r="E14" s="14">
        <v>9.9979999999999993</v>
      </c>
      <c r="F14" s="15">
        <v>694</v>
      </c>
      <c r="G14" s="50">
        <f>F14*30</f>
        <v>20820</v>
      </c>
      <c r="H14" s="16">
        <v>34.658000000000001</v>
      </c>
      <c r="I14" s="51">
        <v>0</v>
      </c>
      <c r="J14" s="50">
        <f>I14*30</f>
        <v>0</v>
      </c>
      <c r="K14" s="52">
        <v>0</v>
      </c>
      <c r="L14" s="51">
        <v>752</v>
      </c>
      <c r="M14" s="50">
        <f>L14*30</f>
        <v>22560</v>
      </c>
      <c r="N14" s="52">
        <v>38.591999999999999</v>
      </c>
      <c r="O14" s="51">
        <v>294</v>
      </c>
      <c r="P14" s="50">
        <f>O14*30</f>
        <v>8820</v>
      </c>
      <c r="Q14" s="52">
        <v>14.629</v>
      </c>
      <c r="R14" s="51">
        <v>0</v>
      </c>
      <c r="S14" s="53">
        <f t="shared" si="8"/>
        <v>0</v>
      </c>
      <c r="T14" s="52">
        <v>0</v>
      </c>
      <c r="U14" s="31">
        <f t="shared" si="9"/>
        <v>1940</v>
      </c>
      <c r="V14" s="31">
        <f t="shared" si="9"/>
        <v>58200</v>
      </c>
      <c r="W14" s="32">
        <f t="shared" si="9"/>
        <v>97.876999999999995</v>
      </c>
    </row>
    <row r="15" spans="2:26" s="2" customFormat="1" ht="18" customHeight="1" thickBot="1">
      <c r="B15" s="34" t="s">
        <v>22</v>
      </c>
      <c r="C15" s="35">
        <v>1532</v>
      </c>
      <c r="D15" s="36">
        <f t="shared" si="1"/>
        <v>45960</v>
      </c>
      <c r="E15" s="37">
        <v>234.506</v>
      </c>
      <c r="F15" s="38">
        <v>1276</v>
      </c>
      <c r="G15" s="36">
        <f t="shared" si="2"/>
        <v>38280</v>
      </c>
      <c r="H15" s="39">
        <v>206.34899999999999</v>
      </c>
      <c r="I15" s="40">
        <v>946</v>
      </c>
      <c r="J15" s="36">
        <f t="shared" ref="J15" si="10">I15*30</f>
        <v>28380</v>
      </c>
      <c r="K15" s="41">
        <v>154.58799999999999</v>
      </c>
      <c r="L15" s="40">
        <v>1172</v>
      </c>
      <c r="M15" s="36">
        <f t="shared" ref="M15" si="11">L15*30</f>
        <v>35160</v>
      </c>
      <c r="N15" s="41">
        <v>190.96299999999999</v>
      </c>
      <c r="O15" s="40">
        <v>1264</v>
      </c>
      <c r="P15" s="36">
        <f t="shared" ref="P15" si="12">O15*30</f>
        <v>37920</v>
      </c>
      <c r="Q15" s="41">
        <v>224.79300000000001</v>
      </c>
      <c r="R15" s="40">
        <v>1192</v>
      </c>
      <c r="S15" s="54">
        <f t="shared" si="8"/>
        <v>35760</v>
      </c>
      <c r="T15" s="41">
        <v>210</v>
      </c>
      <c r="U15" s="31">
        <f t="shared" si="9"/>
        <v>7382</v>
      </c>
      <c r="V15" s="31">
        <f t="shared" si="9"/>
        <v>221460</v>
      </c>
      <c r="W15" s="32">
        <f t="shared" si="9"/>
        <v>1221.1990000000001</v>
      </c>
    </row>
    <row r="16" spans="2:26" s="48" customFormat="1" ht="18" customHeight="1" thickTop="1" thickBot="1">
      <c r="B16" s="42" t="s">
        <v>23</v>
      </c>
      <c r="C16" s="43">
        <f>SUM(C13:C15)</f>
        <v>7548</v>
      </c>
      <c r="D16" s="44">
        <f t="shared" ref="D16:T16" si="13">SUM(D13:D15)</f>
        <v>226440</v>
      </c>
      <c r="E16" s="45">
        <f t="shared" si="13"/>
        <v>1482.3780000000002</v>
      </c>
      <c r="F16" s="43">
        <f>SUM(F13:F15)</f>
        <v>7868</v>
      </c>
      <c r="G16" s="44">
        <f t="shared" si="13"/>
        <v>236040</v>
      </c>
      <c r="H16" s="45">
        <f t="shared" si="13"/>
        <v>1497.6789999999999</v>
      </c>
      <c r="I16" s="43">
        <f t="shared" si="13"/>
        <v>5890</v>
      </c>
      <c r="J16" s="44">
        <f t="shared" si="13"/>
        <v>176700</v>
      </c>
      <c r="K16" s="45">
        <f t="shared" si="13"/>
        <v>1195.0349999999999</v>
      </c>
      <c r="L16" s="43">
        <f t="shared" si="13"/>
        <v>6824</v>
      </c>
      <c r="M16" s="44">
        <f t="shared" si="13"/>
        <v>204720</v>
      </c>
      <c r="N16" s="45">
        <f t="shared" si="13"/>
        <v>1266.335</v>
      </c>
      <c r="O16" s="43">
        <f t="shared" si="13"/>
        <v>6330</v>
      </c>
      <c r="P16" s="44">
        <f>SUM(P13:P15)</f>
        <v>189900</v>
      </c>
      <c r="Q16" s="45">
        <f t="shared" si="13"/>
        <v>1259.326</v>
      </c>
      <c r="R16" s="43">
        <f>SUM(R13:R15)</f>
        <v>7326</v>
      </c>
      <c r="S16" s="44">
        <f t="shared" si="13"/>
        <v>219780</v>
      </c>
      <c r="T16" s="45">
        <f t="shared" si="13"/>
        <v>1507.9059999999999</v>
      </c>
      <c r="U16" s="46">
        <f>SUM(C16,F16,I16,L16,O16,R16)</f>
        <v>41786</v>
      </c>
      <c r="V16" s="46">
        <f t="shared" si="9"/>
        <v>1253580</v>
      </c>
      <c r="W16" s="47">
        <f t="shared" si="9"/>
        <v>8208.6589999999997</v>
      </c>
    </row>
    <row r="17" spans="2:28" s="2" customFormat="1" ht="18" customHeight="1" thickTop="1">
      <c r="B17" s="49" t="s">
        <v>24</v>
      </c>
      <c r="C17" s="12">
        <v>2156</v>
      </c>
      <c r="D17" s="50">
        <f t="shared" si="1"/>
        <v>64680</v>
      </c>
      <c r="E17" s="14">
        <v>393.29300000000001</v>
      </c>
      <c r="F17" s="15">
        <v>1878</v>
      </c>
      <c r="G17" s="50">
        <f t="shared" si="2"/>
        <v>56340</v>
      </c>
      <c r="H17" s="16">
        <v>346.88299999999998</v>
      </c>
      <c r="I17" s="51">
        <v>1666</v>
      </c>
      <c r="J17" s="50">
        <f t="shared" ref="J17:J21" si="14">I17*30</f>
        <v>49980</v>
      </c>
      <c r="K17" s="52">
        <v>308.89</v>
      </c>
      <c r="L17" s="51">
        <v>1526</v>
      </c>
      <c r="M17" s="50">
        <f t="shared" ref="M17:M21" si="15">L17*30</f>
        <v>45780</v>
      </c>
      <c r="N17" s="52">
        <v>347.08699999999999</v>
      </c>
      <c r="O17" s="51">
        <v>1738</v>
      </c>
      <c r="P17" s="50">
        <f t="shared" ref="P17:P21" si="16">O17*30</f>
        <v>52140</v>
      </c>
      <c r="Q17" s="52">
        <v>496.00799999999998</v>
      </c>
      <c r="R17" s="51">
        <v>1740</v>
      </c>
      <c r="S17" s="50">
        <f t="shared" ref="S17:S21" si="17">R17*30</f>
        <v>52200</v>
      </c>
      <c r="T17" s="52">
        <v>490.32799999999997</v>
      </c>
      <c r="U17" s="31">
        <f>SUM(C17,F17,I17,L17,O17,R17)</f>
        <v>10704</v>
      </c>
      <c r="V17" s="31">
        <f>SUM(D17,G17,J17,M17,P17,S17)</f>
        <v>321120</v>
      </c>
      <c r="W17" s="32">
        <f>SUM(E17,H17,K17,N17,Q17,T17)</f>
        <v>2382.4889999999996</v>
      </c>
    </row>
    <row r="18" spans="2:28" s="2" customFormat="1" ht="18" customHeight="1">
      <c r="B18" s="49" t="s">
        <v>25</v>
      </c>
      <c r="C18" s="12">
        <v>0</v>
      </c>
      <c r="D18" s="25">
        <f t="shared" si="1"/>
        <v>0</v>
      </c>
      <c r="E18" s="14">
        <v>0</v>
      </c>
      <c r="F18" s="27">
        <v>0</v>
      </c>
      <c r="G18" s="25">
        <f t="shared" si="2"/>
        <v>0</v>
      </c>
      <c r="H18" s="16">
        <v>0</v>
      </c>
      <c r="I18" s="51">
        <v>0</v>
      </c>
      <c r="J18" s="25">
        <f t="shared" si="14"/>
        <v>0</v>
      </c>
      <c r="K18" s="52">
        <v>0</v>
      </c>
      <c r="L18" s="51">
        <v>0</v>
      </c>
      <c r="M18" s="25">
        <f t="shared" si="15"/>
        <v>0</v>
      </c>
      <c r="N18" s="52">
        <v>0</v>
      </c>
      <c r="O18" s="51">
        <v>0</v>
      </c>
      <c r="P18" s="25">
        <f t="shared" si="16"/>
        <v>0</v>
      </c>
      <c r="Q18" s="52">
        <v>0</v>
      </c>
      <c r="R18" s="51">
        <v>0</v>
      </c>
      <c r="S18" s="25">
        <f t="shared" si="17"/>
        <v>0</v>
      </c>
      <c r="T18" s="52">
        <v>0</v>
      </c>
      <c r="U18" s="31">
        <f t="shared" ref="U18:W23" si="18">SUM(C18,F18,I18,L18,O18,R18)</f>
        <v>0</v>
      </c>
      <c r="V18" s="31">
        <f t="shared" si="18"/>
        <v>0</v>
      </c>
      <c r="W18" s="32">
        <f t="shared" si="18"/>
        <v>0</v>
      </c>
    </row>
    <row r="19" spans="2:28" s="2" customFormat="1" ht="18" customHeight="1">
      <c r="B19" s="23" t="s">
        <v>26</v>
      </c>
      <c r="C19" s="24">
        <v>0</v>
      </c>
      <c r="D19" s="25">
        <f t="shared" si="1"/>
        <v>0</v>
      </c>
      <c r="E19" s="26">
        <v>0</v>
      </c>
      <c r="F19" s="27">
        <v>0</v>
      </c>
      <c r="G19" s="25">
        <f t="shared" si="2"/>
        <v>0</v>
      </c>
      <c r="H19" s="28">
        <v>0</v>
      </c>
      <c r="I19" s="29">
        <v>0</v>
      </c>
      <c r="J19" s="25">
        <f t="shared" si="14"/>
        <v>0</v>
      </c>
      <c r="K19" s="30">
        <v>0</v>
      </c>
      <c r="L19" s="29">
        <v>31</v>
      </c>
      <c r="M19" s="25">
        <f>L19*24</f>
        <v>744</v>
      </c>
      <c r="N19" s="30">
        <v>4.0999999999999996</v>
      </c>
      <c r="O19" s="29">
        <v>0</v>
      </c>
      <c r="P19" s="25">
        <f t="shared" si="16"/>
        <v>0</v>
      </c>
      <c r="Q19" s="30">
        <v>0</v>
      </c>
      <c r="R19" s="29">
        <v>96</v>
      </c>
      <c r="S19" s="25">
        <f t="shared" si="17"/>
        <v>2880</v>
      </c>
      <c r="T19" s="30">
        <v>20.280999999999999</v>
      </c>
      <c r="U19" s="31">
        <f t="shared" si="18"/>
        <v>127</v>
      </c>
      <c r="V19" s="31">
        <f t="shared" si="18"/>
        <v>3624</v>
      </c>
      <c r="W19" s="32">
        <f t="shared" si="18"/>
        <v>24.381</v>
      </c>
    </row>
    <row r="20" spans="2:28" s="2" customFormat="1" ht="18" customHeight="1">
      <c r="B20" s="23" t="s">
        <v>27</v>
      </c>
      <c r="C20" s="24">
        <v>0</v>
      </c>
      <c r="D20" s="25">
        <f t="shared" si="1"/>
        <v>0</v>
      </c>
      <c r="E20" s="26">
        <v>0</v>
      </c>
      <c r="F20" s="27">
        <v>0</v>
      </c>
      <c r="G20" s="25">
        <f t="shared" si="2"/>
        <v>0</v>
      </c>
      <c r="H20" s="28">
        <v>0</v>
      </c>
      <c r="I20" s="29">
        <v>0</v>
      </c>
      <c r="J20" s="25">
        <f t="shared" si="14"/>
        <v>0</v>
      </c>
      <c r="K20" s="30">
        <v>0</v>
      </c>
      <c r="L20" s="29">
        <v>0</v>
      </c>
      <c r="M20" s="25">
        <f t="shared" si="15"/>
        <v>0</v>
      </c>
      <c r="N20" s="30">
        <v>0</v>
      </c>
      <c r="O20" s="29">
        <v>0</v>
      </c>
      <c r="P20" s="25">
        <f t="shared" si="16"/>
        <v>0</v>
      </c>
      <c r="Q20" s="30">
        <v>0</v>
      </c>
      <c r="R20" s="29">
        <v>0</v>
      </c>
      <c r="S20" s="25">
        <f t="shared" si="17"/>
        <v>0</v>
      </c>
      <c r="T20" s="30">
        <v>0</v>
      </c>
      <c r="U20" s="31">
        <f t="shared" si="18"/>
        <v>0</v>
      </c>
      <c r="V20" s="31">
        <f t="shared" si="18"/>
        <v>0</v>
      </c>
      <c r="W20" s="32">
        <f t="shared" si="18"/>
        <v>0</v>
      </c>
    </row>
    <row r="21" spans="2:28" s="2" customFormat="1" ht="18" customHeight="1">
      <c r="B21" s="23" t="s">
        <v>28</v>
      </c>
      <c r="C21" s="24">
        <v>0</v>
      </c>
      <c r="D21" s="25">
        <f t="shared" si="1"/>
        <v>0</v>
      </c>
      <c r="E21" s="26">
        <v>0</v>
      </c>
      <c r="F21" s="27">
        <v>0</v>
      </c>
      <c r="G21" s="25">
        <f t="shared" si="2"/>
        <v>0</v>
      </c>
      <c r="H21" s="28">
        <v>0</v>
      </c>
      <c r="I21" s="29">
        <v>0</v>
      </c>
      <c r="J21" s="25">
        <f t="shared" si="14"/>
        <v>0</v>
      </c>
      <c r="K21" s="30">
        <v>0</v>
      </c>
      <c r="L21" s="29">
        <v>0</v>
      </c>
      <c r="M21" s="25">
        <f t="shared" si="15"/>
        <v>0</v>
      </c>
      <c r="N21" s="30">
        <v>0</v>
      </c>
      <c r="O21" s="29">
        <v>0</v>
      </c>
      <c r="P21" s="25">
        <f t="shared" si="16"/>
        <v>0</v>
      </c>
      <c r="Q21" s="30">
        <v>0</v>
      </c>
      <c r="R21" s="29">
        <v>0</v>
      </c>
      <c r="S21" s="25">
        <f t="shared" si="17"/>
        <v>0</v>
      </c>
      <c r="T21" s="30">
        <v>0</v>
      </c>
      <c r="U21" s="31">
        <f t="shared" si="18"/>
        <v>0</v>
      </c>
      <c r="V21" s="31">
        <f t="shared" si="18"/>
        <v>0</v>
      </c>
      <c r="W21" s="32">
        <f t="shared" si="18"/>
        <v>0</v>
      </c>
      <c r="Z21" s="33"/>
    </row>
    <row r="22" spans="2:28" s="2" customFormat="1" ht="18" customHeight="1">
      <c r="B22" s="23" t="s">
        <v>29</v>
      </c>
      <c r="C22" s="24">
        <v>0</v>
      </c>
      <c r="D22" s="25">
        <f>C22*24</f>
        <v>0</v>
      </c>
      <c r="E22" s="26">
        <v>0</v>
      </c>
      <c r="F22" s="27">
        <v>0</v>
      </c>
      <c r="G22" s="25">
        <f>F22*24</f>
        <v>0</v>
      </c>
      <c r="H22" s="28">
        <v>0</v>
      </c>
      <c r="I22" s="29">
        <v>6</v>
      </c>
      <c r="J22" s="25">
        <f>I22*24</f>
        <v>144</v>
      </c>
      <c r="K22" s="30">
        <v>1.2909999999999999</v>
      </c>
      <c r="L22" s="29">
        <v>13</v>
      </c>
      <c r="M22" s="25">
        <f>L22*24</f>
        <v>312</v>
      </c>
      <c r="N22" s="30">
        <v>2.5609999999999999</v>
      </c>
      <c r="O22" s="29">
        <v>7</v>
      </c>
      <c r="P22" s="25">
        <f>O22*24</f>
        <v>168</v>
      </c>
      <c r="Q22" s="30">
        <v>1.5429999999999999</v>
      </c>
      <c r="R22" s="29">
        <v>80</v>
      </c>
      <c r="S22" s="25">
        <f>R22*24</f>
        <v>1920</v>
      </c>
      <c r="T22" s="30">
        <v>13.952</v>
      </c>
      <c r="U22" s="31">
        <f t="shared" si="18"/>
        <v>106</v>
      </c>
      <c r="V22" s="31">
        <f t="shared" si="18"/>
        <v>2544</v>
      </c>
      <c r="W22" s="32">
        <f t="shared" si="18"/>
        <v>19.347000000000001</v>
      </c>
    </row>
    <row r="23" spans="2:28" s="2" customFormat="1" ht="18" customHeight="1" thickBot="1">
      <c r="B23" s="55" t="s">
        <v>30</v>
      </c>
      <c r="C23" s="35">
        <v>523</v>
      </c>
      <c r="D23" s="36">
        <f>C23*24</f>
        <v>12552</v>
      </c>
      <c r="E23" s="37">
        <v>67.042000000000002</v>
      </c>
      <c r="F23" s="38">
        <v>462</v>
      </c>
      <c r="G23" s="36">
        <f>F23*24</f>
        <v>11088</v>
      </c>
      <c r="H23" s="39">
        <v>63.444000000000003</v>
      </c>
      <c r="I23" s="56">
        <v>210</v>
      </c>
      <c r="J23" s="36">
        <f>I23*24</f>
        <v>5040</v>
      </c>
      <c r="K23" s="57">
        <v>27.626000000000001</v>
      </c>
      <c r="L23" s="56">
        <v>305</v>
      </c>
      <c r="M23" s="36">
        <f>L23*24</f>
        <v>7320</v>
      </c>
      <c r="N23" s="57">
        <v>51.283999999999999</v>
      </c>
      <c r="O23" s="56">
        <v>161</v>
      </c>
      <c r="P23" s="36">
        <f>O23*24</f>
        <v>3864</v>
      </c>
      <c r="Q23" s="57">
        <v>34.069000000000003</v>
      </c>
      <c r="R23" s="56">
        <v>132</v>
      </c>
      <c r="S23" s="36">
        <f>R23*24</f>
        <v>3168</v>
      </c>
      <c r="T23" s="57">
        <v>19.457999999999998</v>
      </c>
      <c r="U23" s="31">
        <f t="shared" si="18"/>
        <v>1793</v>
      </c>
      <c r="V23" s="31">
        <f t="shared" si="18"/>
        <v>43032</v>
      </c>
      <c r="W23" s="32">
        <f t="shared" si="18"/>
        <v>262.923</v>
      </c>
      <c r="Y23" s="58"/>
      <c r="Z23" s="58"/>
      <c r="AA23" s="33"/>
    </row>
    <row r="24" spans="2:28" s="2" customFormat="1" ht="18" customHeight="1" thickTop="1" thickBot="1">
      <c r="B24" s="42" t="s">
        <v>31</v>
      </c>
      <c r="C24" s="46">
        <f>SUM(C6:C11,C13:C15,C17:C23)</f>
        <v>15945</v>
      </c>
      <c r="D24" s="46">
        <f t="shared" ref="D24:T24" si="19">SUM(D6:D11,D13:D15,D17:D23)</f>
        <v>475192.2</v>
      </c>
      <c r="E24" s="47">
        <f t="shared" si="19"/>
        <v>2654.1770000000001</v>
      </c>
      <c r="F24" s="46">
        <f t="shared" si="19"/>
        <v>16180</v>
      </c>
      <c r="G24" s="46">
        <f t="shared" si="19"/>
        <v>482608.2</v>
      </c>
      <c r="H24" s="47">
        <f t="shared" si="19"/>
        <v>2657.0609999999997</v>
      </c>
      <c r="I24" s="46">
        <f>SUM(I6:I11,I13:I15,I17:I23)</f>
        <v>13588</v>
      </c>
      <c r="J24" s="46">
        <f>SUM(J6:J11,J13:J15,J17:J23)</f>
        <v>406324.2</v>
      </c>
      <c r="K24" s="47">
        <f>SUM(K6:K11,K13:K15,K17:K23)</f>
        <v>2260.9100000000003</v>
      </c>
      <c r="L24" s="46">
        <f t="shared" si="19"/>
        <v>15147</v>
      </c>
      <c r="M24" s="46">
        <f t="shared" si="19"/>
        <v>452398</v>
      </c>
      <c r="N24" s="47">
        <f>SUM(N6:N11,N13:N15,N17:N23)</f>
        <v>2473.4920000000002</v>
      </c>
      <c r="O24" s="46">
        <f t="shared" si="19"/>
        <v>14826</v>
      </c>
      <c r="P24" s="46">
        <f t="shared" si="19"/>
        <v>443192.3</v>
      </c>
      <c r="Q24" s="47">
        <f t="shared" si="19"/>
        <v>2671.674</v>
      </c>
      <c r="R24" s="46">
        <f t="shared" si="19"/>
        <v>15642</v>
      </c>
      <c r="S24" s="46">
        <f>SUM(S6:S11,S13:S15,S17:S23)</f>
        <v>467432.4</v>
      </c>
      <c r="T24" s="47">
        <f t="shared" si="19"/>
        <v>2873.2719999999999</v>
      </c>
      <c r="U24" s="46">
        <f>SUM(U6:U11,U13:U15,U17:U23)</f>
        <v>91328</v>
      </c>
      <c r="V24" s="46">
        <f>SUM(V6:V11,V13:V15,V17:V23)</f>
        <v>2727147.3</v>
      </c>
      <c r="W24" s="47">
        <f>SUM(W6:W11,W13:W15,W17:W23)</f>
        <v>15590.585999999999</v>
      </c>
    </row>
    <row r="25" spans="2:28" s="2" customFormat="1" ht="18" customHeight="1" thickTop="1" thickBot="1">
      <c r="B25" s="42" t="s">
        <v>32</v>
      </c>
      <c r="C25" s="46" t="s">
        <v>33</v>
      </c>
      <c r="D25" s="46" t="s">
        <v>33</v>
      </c>
      <c r="E25" s="47">
        <v>2897.8159999999998</v>
      </c>
      <c r="F25" s="46" t="s">
        <v>33</v>
      </c>
      <c r="G25" s="46" t="s">
        <v>33</v>
      </c>
      <c r="H25" s="47">
        <v>2897.8159999999998</v>
      </c>
      <c r="I25" s="46" t="s">
        <v>33</v>
      </c>
      <c r="J25" s="46" t="s">
        <v>33</v>
      </c>
      <c r="K25" s="47">
        <v>2804.3380000000002</v>
      </c>
      <c r="L25" s="46" t="s">
        <v>33</v>
      </c>
      <c r="M25" s="46" t="s">
        <v>33</v>
      </c>
      <c r="N25" s="47">
        <v>2897.8159999999998</v>
      </c>
      <c r="O25" s="46" t="s">
        <v>33</v>
      </c>
      <c r="P25" s="46" t="s">
        <v>33</v>
      </c>
      <c r="Q25" s="47">
        <v>2804.3380000000002</v>
      </c>
      <c r="R25" s="46" t="s">
        <v>33</v>
      </c>
      <c r="S25" s="46" t="s">
        <v>33</v>
      </c>
      <c r="T25" s="47">
        <v>2897.8159999999998</v>
      </c>
      <c r="U25" s="46" t="s">
        <v>33</v>
      </c>
      <c r="V25" s="46" t="s">
        <v>33</v>
      </c>
      <c r="W25" s="47">
        <f>SUM(E25,H25,K25,N25,Q25,T25)</f>
        <v>17199.939999999999</v>
      </c>
    </row>
    <row r="26" spans="2:28" s="2" customFormat="1" ht="18" customHeight="1" thickTop="1" thickBot="1">
      <c r="B26" s="42" t="s">
        <v>34</v>
      </c>
      <c r="C26" s="46" t="s">
        <v>33</v>
      </c>
      <c r="D26" s="46" t="s">
        <v>33</v>
      </c>
      <c r="E26" s="47">
        <f>E24-E25</f>
        <v>-243.63899999999967</v>
      </c>
      <c r="F26" s="46" t="s">
        <v>33</v>
      </c>
      <c r="G26" s="46" t="s">
        <v>33</v>
      </c>
      <c r="H26" s="47">
        <f>H24-H25</f>
        <v>-240.75500000000011</v>
      </c>
      <c r="I26" s="46" t="s">
        <v>33</v>
      </c>
      <c r="J26" s="46" t="s">
        <v>33</v>
      </c>
      <c r="K26" s="47">
        <f>K24-K25</f>
        <v>-543.42799999999988</v>
      </c>
      <c r="L26" s="46" t="s">
        <v>33</v>
      </c>
      <c r="M26" s="46" t="s">
        <v>33</v>
      </c>
      <c r="N26" s="47">
        <f>N24-N25</f>
        <v>-424.32399999999961</v>
      </c>
      <c r="O26" s="46" t="s">
        <v>33</v>
      </c>
      <c r="P26" s="46" t="s">
        <v>33</v>
      </c>
      <c r="Q26" s="47">
        <f>Q24-Q25</f>
        <v>-132.66400000000021</v>
      </c>
      <c r="R26" s="46" t="s">
        <v>33</v>
      </c>
      <c r="S26" s="46" t="s">
        <v>33</v>
      </c>
      <c r="T26" s="47">
        <f>T24-T25</f>
        <v>-24.543999999999869</v>
      </c>
      <c r="U26" s="46" t="s">
        <v>33</v>
      </c>
      <c r="V26" s="46" t="s">
        <v>33</v>
      </c>
      <c r="W26" s="47">
        <f>W24-W25</f>
        <v>-1609.3539999999994</v>
      </c>
    </row>
    <row r="27" spans="2:28" s="2" customFormat="1" ht="18" customHeight="1" thickTop="1" thickBot="1">
      <c r="B27" s="42" t="s">
        <v>35</v>
      </c>
      <c r="C27" s="46" t="s">
        <v>33</v>
      </c>
      <c r="D27" s="46" t="s">
        <v>33</v>
      </c>
      <c r="E27" s="59">
        <f>E26/E25</f>
        <v>-8.4076766778842987E-2</v>
      </c>
      <c r="F27" s="46" t="s">
        <v>33</v>
      </c>
      <c r="G27" s="46" t="s">
        <v>33</v>
      </c>
      <c r="H27" s="59">
        <f>H26/H25</f>
        <v>-8.3081534507366966E-2</v>
      </c>
      <c r="I27" s="46" t="s">
        <v>33</v>
      </c>
      <c r="J27" s="46" t="s">
        <v>33</v>
      </c>
      <c r="K27" s="59">
        <f>K26/K25</f>
        <v>-0.19378120611709423</v>
      </c>
      <c r="L27" s="46" t="s">
        <v>33</v>
      </c>
      <c r="M27" s="46" t="s">
        <v>33</v>
      </c>
      <c r="N27" s="59">
        <f>N26/N25</f>
        <v>-0.14642889679675991</v>
      </c>
      <c r="O27" s="46" t="s">
        <v>33</v>
      </c>
      <c r="P27" s="46" t="s">
        <v>33</v>
      </c>
      <c r="Q27" s="59">
        <f>Q26/Q25</f>
        <v>-4.7306708392497697E-2</v>
      </c>
      <c r="R27" s="46" t="s">
        <v>33</v>
      </c>
      <c r="S27" s="46" t="s">
        <v>33</v>
      </c>
      <c r="T27" s="59">
        <f>T26/T25</f>
        <v>-8.4698269317306108E-3</v>
      </c>
      <c r="U27" s="46" t="s">
        <v>33</v>
      </c>
      <c r="V27" s="46" t="s">
        <v>33</v>
      </c>
      <c r="W27" s="59">
        <f>W26/W25</f>
        <v>-9.3567419421230508E-2</v>
      </c>
    </row>
    <row r="28" spans="2:28" s="2" customFormat="1" ht="18" customHeight="1" thickTop="1" thickBot="1">
      <c r="B28" s="1"/>
      <c r="Y28" s="1"/>
      <c r="Z28" s="1"/>
      <c r="AA28" s="1"/>
      <c r="AB28" s="1"/>
    </row>
    <row r="29" spans="2:28" s="2" customFormat="1" ht="27" customHeight="1" thickTop="1" thickBot="1">
      <c r="B29" s="5" t="s">
        <v>2</v>
      </c>
      <c r="C29" s="6" t="s">
        <v>36</v>
      </c>
      <c r="D29" s="7"/>
      <c r="E29" s="7"/>
      <c r="F29" s="8" t="s">
        <v>37</v>
      </c>
      <c r="G29" s="5"/>
      <c r="H29" s="5"/>
      <c r="I29" s="8" t="s">
        <v>38</v>
      </c>
      <c r="J29" s="5"/>
      <c r="K29" s="5"/>
      <c r="L29" s="8" t="s">
        <v>39</v>
      </c>
      <c r="M29" s="5"/>
      <c r="N29" s="5"/>
      <c r="O29" s="8" t="s">
        <v>40</v>
      </c>
      <c r="P29" s="5"/>
      <c r="Q29" s="5"/>
      <c r="R29" s="8" t="s">
        <v>41</v>
      </c>
      <c r="S29" s="5"/>
      <c r="T29" s="5"/>
      <c r="U29" s="8" t="s">
        <v>42</v>
      </c>
      <c r="V29" s="5"/>
      <c r="W29" s="5"/>
      <c r="Y29" s="1"/>
      <c r="Z29" s="1"/>
      <c r="AA29" s="1"/>
      <c r="AB29" s="1"/>
    </row>
    <row r="30" spans="2:28" s="2" customFormat="1" ht="18" customHeight="1" thickTop="1" thickBot="1">
      <c r="B30" s="5"/>
      <c r="C30" s="9" t="s">
        <v>10</v>
      </c>
      <c r="D30" s="10" t="s">
        <v>11</v>
      </c>
      <c r="E30" s="10" t="s">
        <v>12</v>
      </c>
      <c r="F30" s="9" t="s">
        <v>10</v>
      </c>
      <c r="G30" s="10" t="s">
        <v>11</v>
      </c>
      <c r="H30" s="10" t="s">
        <v>12</v>
      </c>
      <c r="I30" s="9" t="s">
        <v>10</v>
      </c>
      <c r="J30" s="10" t="s">
        <v>11</v>
      </c>
      <c r="K30" s="10" t="s">
        <v>12</v>
      </c>
      <c r="L30" s="9" t="s">
        <v>10</v>
      </c>
      <c r="M30" s="10" t="s">
        <v>11</v>
      </c>
      <c r="N30" s="10" t="s">
        <v>12</v>
      </c>
      <c r="O30" s="9" t="s">
        <v>10</v>
      </c>
      <c r="P30" s="10" t="s">
        <v>11</v>
      </c>
      <c r="Q30" s="10" t="s">
        <v>12</v>
      </c>
      <c r="R30" s="9" t="s">
        <v>10</v>
      </c>
      <c r="S30" s="10" t="s">
        <v>11</v>
      </c>
      <c r="T30" s="10" t="s">
        <v>12</v>
      </c>
      <c r="U30" s="9" t="s">
        <v>10</v>
      </c>
      <c r="V30" s="10" t="s">
        <v>11</v>
      </c>
      <c r="W30" s="10" t="s">
        <v>12</v>
      </c>
      <c r="Y30" s="1"/>
      <c r="Z30" s="1"/>
      <c r="AA30" s="1"/>
      <c r="AB30" s="1"/>
    </row>
    <row r="31" spans="2:28" s="2" customFormat="1" ht="18" customHeight="1" thickTop="1">
      <c r="B31" s="11" t="s">
        <v>13</v>
      </c>
      <c r="C31" s="17">
        <v>4</v>
      </c>
      <c r="D31" s="18">
        <v>80.400000000000006</v>
      </c>
      <c r="E31" s="19">
        <v>0.40699999999999997</v>
      </c>
      <c r="F31" s="15">
        <v>2</v>
      </c>
      <c r="G31" s="50">
        <v>40.200000000000003</v>
      </c>
      <c r="H31" s="16">
        <v>0.20399999999999999</v>
      </c>
      <c r="I31" s="17">
        <v>0</v>
      </c>
      <c r="J31" s="20">
        <v>0</v>
      </c>
      <c r="K31" s="19">
        <v>0</v>
      </c>
      <c r="L31" s="17">
        <v>2</v>
      </c>
      <c r="M31" s="20">
        <v>40.200000000000003</v>
      </c>
      <c r="N31" s="19">
        <v>0.20399999999999999</v>
      </c>
      <c r="O31" s="17"/>
      <c r="P31" s="20"/>
      <c r="Q31" s="19"/>
      <c r="R31" s="17"/>
      <c r="S31" s="20"/>
      <c r="T31" s="19"/>
      <c r="U31" s="31">
        <f>SUM(C6,F6,I6,L6,O6,R6,C31,F31,I31,L31,O31,R31)</f>
        <v>32</v>
      </c>
      <c r="V31" s="31">
        <f>SUM(D6,G6,J6,M6,P6,S6,D31,G31,J31,M31,P31,S31)</f>
        <v>804.1</v>
      </c>
      <c r="W31" s="32">
        <f>SUM(E6,H6,K6,N6,Q6,T6,E31,H31,K31,N31,Q31,T31)</f>
        <v>3.903</v>
      </c>
      <c r="Y31" s="1"/>
      <c r="Z31" s="1"/>
      <c r="AA31" s="1"/>
      <c r="AB31" s="1"/>
    </row>
    <row r="32" spans="2:28" s="2" customFormat="1" ht="18" customHeight="1">
      <c r="B32" s="23" t="s">
        <v>14</v>
      </c>
      <c r="C32" s="29">
        <v>176</v>
      </c>
      <c r="D32" s="25">
        <f>C32*30</f>
        <v>5280</v>
      </c>
      <c r="E32" s="30">
        <v>17.254999999999999</v>
      </c>
      <c r="F32" s="27">
        <v>0</v>
      </c>
      <c r="G32" s="25">
        <f>F32*28</f>
        <v>0</v>
      </c>
      <c r="H32" s="28">
        <v>0</v>
      </c>
      <c r="I32" s="29">
        <v>0</v>
      </c>
      <c r="J32" s="25">
        <f>I32*28</f>
        <v>0</v>
      </c>
      <c r="K32" s="30">
        <v>0</v>
      </c>
      <c r="L32" s="29">
        <v>0</v>
      </c>
      <c r="M32" s="25">
        <f>L32*28</f>
        <v>0</v>
      </c>
      <c r="N32" s="30">
        <v>0</v>
      </c>
      <c r="O32" s="29"/>
      <c r="P32" s="25">
        <f>O32*28</f>
        <v>0</v>
      </c>
      <c r="Q32" s="30"/>
      <c r="R32" s="29"/>
      <c r="S32" s="25">
        <f>R32*28</f>
        <v>0</v>
      </c>
      <c r="T32" s="30"/>
      <c r="U32" s="31">
        <f t="shared" ref="U32:W36" si="20">SUM(C7,F7,I7,L7,O7,R7,C32,F32,I32,L32,O32,R32)</f>
        <v>1436</v>
      </c>
      <c r="V32" s="31">
        <f t="shared" si="20"/>
        <v>42044</v>
      </c>
      <c r="W32" s="32">
        <f t="shared" si="20"/>
        <v>154.88800000000001</v>
      </c>
      <c r="Y32" s="1"/>
      <c r="Z32" s="1"/>
      <c r="AA32" s="1"/>
      <c r="AB32" s="1"/>
    </row>
    <row r="33" spans="2:28" s="2" customFormat="1" ht="18" customHeight="1">
      <c r="B33" s="23" t="s">
        <v>15</v>
      </c>
      <c r="C33" s="29">
        <v>1176</v>
      </c>
      <c r="D33" s="25">
        <f>C33*30</f>
        <v>35280</v>
      </c>
      <c r="E33" s="30">
        <v>149.999</v>
      </c>
      <c r="F33" s="27">
        <v>1130</v>
      </c>
      <c r="G33" s="25">
        <f>F33*30</f>
        <v>33900</v>
      </c>
      <c r="H33" s="28">
        <v>151.41499999999999</v>
      </c>
      <c r="I33" s="29">
        <v>1410</v>
      </c>
      <c r="J33" s="25">
        <f>I33*30</f>
        <v>42300</v>
      </c>
      <c r="K33" s="30">
        <v>208.82</v>
      </c>
      <c r="L33" s="29">
        <v>1170</v>
      </c>
      <c r="M33" s="25">
        <f>L33*30</f>
        <v>35100</v>
      </c>
      <c r="N33" s="30">
        <v>176.36</v>
      </c>
      <c r="O33" s="29"/>
      <c r="P33" s="25">
        <f>O33*30</f>
        <v>0</v>
      </c>
      <c r="Q33" s="30"/>
      <c r="R33" s="29"/>
      <c r="S33" s="25">
        <f>R33*30</f>
        <v>0</v>
      </c>
      <c r="T33" s="30"/>
      <c r="U33" s="31">
        <f t="shared" si="20"/>
        <v>13580</v>
      </c>
      <c r="V33" s="31">
        <f t="shared" si="20"/>
        <v>407400</v>
      </c>
      <c r="W33" s="32">
        <f t="shared" si="20"/>
        <v>1757.9319999999998</v>
      </c>
      <c r="Y33" s="1"/>
      <c r="Z33" s="1"/>
      <c r="AA33" s="1"/>
      <c r="AB33" s="1"/>
    </row>
    <row r="34" spans="2:28" ht="18" customHeight="1">
      <c r="B34" s="23" t="s">
        <v>43</v>
      </c>
      <c r="C34" s="29">
        <v>0</v>
      </c>
      <c r="D34" s="25">
        <f>C34*30</f>
        <v>0</v>
      </c>
      <c r="E34" s="30">
        <v>0</v>
      </c>
      <c r="F34" s="27">
        <v>0</v>
      </c>
      <c r="G34" s="25">
        <f>F34*30</f>
        <v>0</v>
      </c>
      <c r="H34" s="28">
        <v>0</v>
      </c>
      <c r="I34" s="29">
        <v>0</v>
      </c>
      <c r="J34" s="25">
        <f>I34*30</f>
        <v>0</v>
      </c>
      <c r="K34" s="30">
        <v>0</v>
      </c>
      <c r="L34" s="29">
        <v>0</v>
      </c>
      <c r="M34" s="25">
        <f>L34*30</f>
        <v>0</v>
      </c>
      <c r="N34" s="30">
        <v>0</v>
      </c>
      <c r="O34" s="29"/>
      <c r="P34" s="25">
        <f>O34*30</f>
        <v>0</v>
      </c>
      <c r="Q34" s="30"/>
      <c r="R34" s="29"/>
      <c r="S34" s="25">
        <f>R34*30</f>
        <v>0</v>
      </c>
      <c r="T34" s="30"/>
      <c r="U34" s="31">
        <f t="shared" si="20"/>
        <v>0</v>
      </c>
      <c r="V34" s="31">
        <f t="shared" si="20"/>
        <v>0</v>
      </c>
      <c r="W34" s="32">
        <f t="shared" si="20"/>
        <v>0</v>
      </c>
    </row>
    <row r="35" spans="2:28" ht="18" customHeight="1">
      <c r="B35" s="23" t="s">
        <v>17</v>
      </c>
      <c r="C35" s="29">
        <v>96</v>
      </c>
      <c r="D35" s="25">
        <f t="shared" ref="D35:D36" si="21">C35*30</f>
        <v>2880</v>
      </c>
      <c r="E35" s="30">
        <v>9.3059999999999992</v>
      </c>
      <c r="F35" s="27">
        <v>0</v>
      </c>
      <c r="G35" s="25">
        <f t="shared" ref="G35:G36" si="22">F35*30</f>
        <v>0</v>
      </c>
      <c r="H35" s="28">
        <v>0</v>
      </c>
      <c r="I35" s="29">
        <v>64</v>
      </c>
      <c r="J35" s="25">
        <f t="shared" ref="J35:J36" si="23">I35*30</f>
        <v>1920</v>
      </c>
      <c r="K35" s="30">
        <v>5.6840000000000002</v>
      </c>
      <c r="L35" s="29">
        <v>140</v>
      </c>
      <c r="M35" s="25">
        <f t="shared" ref="M35:M36" si="24">L35*30</f>
        <v>4200</v>
      </c>
      <c r="N35" s="30">
        <v>25.376999999999999</v>
      </c>
      <c r="O35" s="29"/>
      <c r="P35" s="25">
        <f t="shared" ref="P35:P36" si="25">O35*30</f>
        <v>0</v>
      </c>
      <c r="Q35" s="30"/>
      <c r="R35" s="29"/>
      <c r="S35" s="25">
        <f t="shared" ref="S35:S36" si="26">R35*30</f>
        <v>0</v>
      </c>
      <c r="T35" s="30"/>
      <c r="U35" s="31">
        <f t="shared" si="20"/>
        <v>884</v>
      </c>
      <c r="V35" s="31">
        <f t="shared" si="20"/>
        <v>26520</v>
      </c>
      <c r="W35" s="32">
        <f t="shared" si="20"/>
        <v>104.35599999999999</v>
      </c>
    </row>
    <row r="36" spans="2:28" ht="18" customHeight="1" thickBot="1">
      <c r="B36" s="34" t="s">
        <v>18</v>
      </c>
      <c r="C36" s="40">
        <v>4509</v>
      </c>
      <c r="D36" s="36">
        <f t="shared" si="21"/>
        <v>135270</v>
      </c>
      <c r="E36" s="41">
        <v>604.14400000000001</v>
      </c>
      <c r="F36" s="38">
        <v>3766</v>
      </c>
      <c r="G36" s="36">
        <f t="shared" si="22"/>
        <v>112980</v>
      </c>
      <c r="H36" s="39">
        <v>507.08100000000002</v>
      </c>
      <c r="I36" s="40">
        <v>2890</v>
      </c>
      <c r="J36" s="36">
        <f t="shared" si="23"/>
        <v>86700</v>
      </c>
      <c r="K36" s="41">
        <v>445.83300000000003</v>
      </c>
      <c r="L36" s="40">
        <v>2012</v>
      </c>
      <c r="M36" s="36">
        <f t="shared" si="24"/>
        <v>60360</v>
      </c>
      <c r="N36" s="41">
        <v>325.69799999999998</v>
      </c>
      <c r="O36" s="40"/>
      <c r="P36" s="36">
        <f t="shared" si="25"/>
        <v>0</v>
      </c>
      <c r="Q36" s="41"/>
      <c r="R36" s="40"/>
      <c r="S36" s="36">
        <f t="shared" si="26"/>
        <v>0</v>
      </c>
      <c r="T36" s="41"/>
      <c r="U36" s="60">
        <f>SUM(C11,F11,I11,L11,O11,R11,C36,F36,I36,L36,O36,R36)</f>
        <v>39427</v>
      </c>
      <c r="V36" s="60">
        <f t="shared" si="20"/>
        <v>1182810</v>
      </c>
      <c r="W36" s="61">
        <f t="shared" si="20"/>
        <v>5299.4949999999999</v>
      </c>
    </row>
    <row r="37" spans="2:28" ht="18" customHeight="1" thickTop="1" thickBot="1">
      <c r="B37" s="42" t="s">
        <v>19</v>
      </c>
      <c r="C37" s="43">
        <f>SUM(C34:C36)</f>
        <v>4605</v>
      </c>
      <c r="D37" s="43">
        <f t="shared" ref="D37:T37" si="27">SUM(D34:D36)</f>
        <v>138150</v>
      </c>
      <c r="E37" s="62">
        <f>SUM(E34:E36)</f>
        <v>613.45000000000005</v>
      </c>
      <c r="F37" s="43">
        <f t="shared" si="27"/>
        <v>3766</v>
      </c>
      <c r="G37" s="43">
        <f t="shared" si="27"/>
        <v>112980</v>
      </c>
      <c r="H37" s="62">
        <f t="shared" si="27"/>
        <v>507.08100000000002</v>
      </c>
      <c r="I37" s="43">
        <f t="shared" si="27"/>
        <v>2954</v>
      </c>
      <c r="J37" s="43">
        <f t="shared" si="27"/>
        <v>88620</v>
      </c>
      <c r="K37" s="62">
        <f t="shared" si="27"/>
        <v>451.51700000000005</v>
      </c>
      <c r="L37" s="43">
        <f t="shared" si="27"/>
        <v>2152</v>
      </c>
      <c r="M37" s="43">
        <f t="shared" si="27"/>
        <v>64560</v>
      </c>
      <c r="N37" s="62">
        <f t="shared" si="27"/>
        <v>351.07499999999999</v>
      </c>
      <c r="O37" s="43">
        <f t="shared" si="27"/>
        <v>0</v>
      </c>
      <c r="P37" s="43">
        <f t="shared" si="27"/>
        <v>0</v>
      </c>
      <c r="Q37" s="62">
        <f t="shared" si="27"/>
        <v>0</v>
      </c>
      <c r="R37" s="63">
        <f t="shared" si="27"/>
        <v>0</v>
      </c>
      <c r="S37" s="63">
        <f t="shared" si="27"/>
        <v>0</v>
      </c>
      <c r="T37" s="64">
        <f t="shared" si="27"/>
        <v>0</v>
      </c>
      <c r="U37" s="46">
        <f>SUM(U34:U36)</f>
        <v>40311</v>
      </c>
      <c r="V37" s="46">
        <f t="shared" ref="V37:W37" si="28">SUM(V34:V36)</f>
        <v>1209330</v>
      </c>
      <c r="W37" s="47">
        <f t="shared" si="28"/>
        <v>5403.8509999999997</v>
      </c>
    </row>
    <row r="38" spans="2:28" ht="18" customHeight="1" thickTop="1">
      <c r="B38" s="49" t="s">
        <v>20</v>
      </c>
      <c r="C38" s="51">
        <v>6568</v>
      </c>
      <c r="D38" s="50">
        <f t="shared" ref="D38:D40" si="29">C38*30</f>
        <v>197040</v>
      </c>
      <c r="E38" s="52">
        <v>1416.9159999999999</v>
      </c>
      <c r="F38" s="15">
        <v>5292</v>
      </c>
      <c r="G38" s="50">
        <f t="shared" ref="G38:G40" si="30">F38*30</f>
        <v>158760</v>
      </c>
      <c r="H38" s="16">
        <v>1155.9469999999999</v>
      </c>
      <c r="I38" s="51">
        <v>7268</v>
      </c>
      <c r="J38" s="50">
        <f t="shared" ref="J38:J40" si="31">I38*30</f>
        <v>218040</v>
      </c>
      <c r="K38" s="52">
        <v>1638.5119999999999</v>
      </c>
      <c r="L38" s="51">
        <v>9170</v>
      </c>
      <c r="M38" s="50">
        <f t="shared" ref="M38:M40" si="32">L38*30</f>
        <v>275100</v>
      </c>
      <c r="N38" s="52">
        <v>2164.62</v>
      </c>
      <c r="O38" s="51"/>
      <c r="P38" s="50">
        <f t="shared" ref="P38:P40" si="33">O38*30</f>
        <v>0</v>
      </c>
      <c r="Q38" s="52"/>
      <c r="R38" s="51"/>
      <c r="S38" s="50">
        <f t="shared" ref="S38:S40" si="34">R38*30</f>
        <v>0</v>
      </c>
      <c r="T38" s="52"/>
      <c r="U38" s="31">
        <f>SUM(C13,F13,I13,L13,O13,R13,C38,F38,I38,L38,O38,R38)</f>
        <v>60762</v>
      </c>
      <c r="V38" s="31">
        <f>SUM(D13,G13,J13,M13,P13,S13,D38,G38,J38,M38,P38,S38)</f>
        <v>1822860</v>
      </c>
      <c r="W38" s="32">
        <f>SUM(E13,H13,K13,N13,Q13,T13,E38,H38,K38,N38,Q38,T38)</f>
        <v>13265.578000000001</v>
      </c>
      <c r="Y38" s="65"/>
      <c r="Z38" s="65"/>
      <c r="AA38" s="65"/>
      <c r="AB38" s="66"/>
    </row>
    <row r="39" spans="2:28" ht="18" customHeight="1">
      <c r="B39" s="49" t="s">
        <v>21</v>
      </c>
      <c r="C39" s="51">
        <v>0</v>
      </c>
      <c r="D39" s="50">
        <f t="shared" si="29"/>
        <v>0</v>
      </c>
      <c r="E39" s="52">
        <v>0</v>
      </c>
      <c r="F39" s="15">
        <v>606</v>
      </c>
      <c r="G39" s="50">
        <f t="shared" si="30"/>
        <v>18180</v>
      </c>
      <c r="H39" s="16">
        <v>31.044</v>
      </c>
      <c r="I39" s="51">
        <v>276</v>
      </c>
      <c r="J39" s="50">
        <f t="shared" si="31"/>
        <v>8280</v>
      </c>
      <c r="K39" s="52">
        <v>14.551</v>
      </c>
      <c r="L39" s="51">
        <v>70</v>
      </c>
      <c r="M39" s="50">
        <f t="shared" si="32"/>
        <v>2100</v>
      </c>
      <c r="N39" s="52">
        <v>3.718</v>
      </c>
      <c r="O39" s="51"/>
      <c r="P39" s="50">
        <f t="shared" si="33"/>
        <v>0</v>
      </c>
      <c r="Q39" s="52"/>
      <c r="R39" s="51"/>
      <c r="S39" s="50">
        <f t="shared" si="34"/>
        <v>0</v>
      </c>
      <c r="T39" s="52"/>
      <c r="U39" s="31">
        <f t="shared" ref="U39:W40" si="35">SUM(C14,F14,I14,L14,O14,R14,C39,F39,I39,L39,O39,R39)</f>
        <v>2892</v>
      </c>
      <c r="V39" s="31">
        <f t="shared" si="35"/>
        <v>86760</v>
      </c>
      <c r="W39" s="32">
        <f t="shared" si="35"/>
        <v>147.18999999999997</v>
      </c>
    </row>
    <row r="40" spans="2:28" ht="18" customHeight="1" thickBot="1">
      <c r="B40" s="34" t="s">
        <v>22</v>
      </c>
      <c r="C40" s="40">
        <v>1164</v>
      </c>
      <c r="D40" s="36">
        <f t="shared" si="29"/>
        <v>34920</v>
      </c>
      <c r="E40" s="41">
        <v>200.185</v>
      </c>
      <c r="F40" s="38">
        <v>1056</v>
      </c>
      <c r="G40" s="36">
        <f t="shared" si="30"/>
        <v>31680</v>
      </c>
      <c r="H40" s="39">
        <v>208.01499999999999</v>
      </c>
      <c r="I40" s="40">
        <v>1766</v>
      </c>
      <c r="J40" s="36">
        <f t="shared" si="31"/>
        <v>52980</v>
      </c>
      <c r="K40" s="41">
        <v>424.94799999999998</v>
      </c>
      <c r="L40" s="40">
        <v>1478</v>
      </c>
      <c r="M40" s="36">
        <f t="shared" si="32"/>
        <v>44340</v>
      </c>
      <c r="N40" s="41">
        <v>376.767</v>
      </c>
      <c r="O40" s="40"/>
      <c r="P40" s="36">
        <f t="shared" si="33"/>
        <v>0</v>
      </c>
      <c r="Q40" s="41"/>
      <c r="R40" s="40"/>
      <c r="S40" s="36">
        <f t="shared" si="34"/>
        <v>0</v>
      </c>
      <c r="T40" s="41"/>
      <c r="U40" s="60">
        <f t="shared" si="35"/>
        <v>12846</v>
      </c>
      <c r="V40" s="60">
        <f t="shared" si="35"/>
        <v>385380</v>
      </c>
      <c r="W40" s="61">
        <f t="shared" si="35"/>
        <v>2431.1139999999996</v>
      </c>
    </row>
    <row r="41" spans="2:28" ht="18" customHeight="1" thickTop="1" thickBot="1">
      <c r="B41" s="42" t="s">
        <v>23</v>
      </c>
      <c r="C41" s="43">
        <f>SUM(C38:C40)</f>
        <v>7732</v>
      </c>
      <c r="D41" s="44">
        <f t="shared" ref="D41:O41" si="36">SUM(D38:D40)</f>
        <v>231960</v>
      </c>
      <c r="E41" s="45">
        <f>SUM(E38:E40)</f>
        <v>1617.1009999999999</v>
      </c>
      <c r="F41" s="43">
        <f t="shared" si="36"/>
        <v>6954</v>
      </c>
      <c r="G41" s="44">
        <f t="shared" si="36"/>
        <v>208620</v>
      </c>
      <c r="H41" s="45">
        <f t="shared" si="36"/>
        <v>1395.0059999999999</v>
      </c>
      <c r="I41" s="43">
        <f>SUM(I38:I40)</f>
        <v>9310</v>
      </c>
      <c r="J41" s="44">
        <f t="shared" si="36"/>
        <v>279300</v>
      </c>
      <c r="K41" s="45">
        <f t="shared" si="36"/>
        <v>2078.011</v>
      </c>
      <c r="L41" s="43">
        <f t="shared" si="36"/>
        <v>10718</v>
      </c>
      <c r="M41" s="44">
        <f t="shared" si="36"/>
        <v>321540</v>
      </c>
      <c r="N41" s="45">
        <f t="shared" si="36"/>
        <v>2545.1049999999996</v>
      </c>
      <c r="O41" s="43">
        <f t="shared" si="36"/>
        <v>0</v>
      </c>
      <c r="P41" s="44">
        <f>SUM(P38:P40)</f>
        <v>0</v>
      </c>
      <c r="Q41" s="45">
        <f t="shared" ref="Q41:T41" si="37">SUM(Q38:Q40)</f>
        <v>0</v>
      </c>
      <c r="R41" s="63">
        <f t="shared" si="37"/>
        <v>0</v>
      </c>
      <c r="S41" s="67">
        <f t="shared" si="37"/>
        <v>0</v>
      </c>
      <c r="T41" s="68">
        <f t="shared" si="37"/>
        <v>0</v>
      </c>
      <c r="U41" s="46">
        <f>SUM(U38:U40)</f>
        <v>76500</v>
      </c>
      <c r="V41" s="46">
        <f t="shared" ref="V41:W41" si="38">SUM(V38:V40)</f>
        <v>2295000</v>
      </c>
      <c r="W41" s="47">
        <f t="shared" si="38"/>
        <v>15843.882000000001</v>
      </c>
    </row>
    <row r="42" spans="2:28" ht="18" customHeight="1" thickTop="1">
      <c r="B42" s="49" t="s">
        <v>24</v>
      </c>
      <c r="C42" s="51">
        <v>2170</v>
      </c>
      <c r="D42" s="50">
        <f>C42*30</f>
        <v>65100</v>
      </c>
      <c r="E42" s="52">
        <v>620.53200000000004</v>
      </c>
      <c r="F42" s="15">
        <v>1704</v>
      </c>
      <c r="G42" s="50">
        <f t="shared" ref="G42:G46" si="39">F42*30</f>
        <v>51120</v>
      </c>
      <c r="H42" s="16">
        <v>487.44799999999998</v>
      </c>
      <c r="I42" s="51">
        <v>1396</v>
      </c>
      <c r="J42" s="50">
        <f t="shared" ref="J42:J46" si="40">I42*30</f>
        <v>41880</v>
      </c>
      <c r="K42" s="52">
        <v>403.62400000000002</v>
      </c>
      <c r="L42" s="51">
        <v>1742</v>
      </c>
      <c r="M42" s="50">
        <f t="shared" ref="M42:M46" si="41">L42*30</f>
        <v>52260</v>
      </c>
      <c r="N42" s="52">
        <v>499.27199999999999</v>
      </c>
      <c r="O42" s="51"/>
      <c r="P42" s="50">
        <f t="shared" ref="P42:P46" si="42">O42*30</f>
        <v>0</v>
      </c>
      <c r="Q42" s="52"/>
      <c r="R42" s="51"/>
      <c r="S42" s="50">
        <f t="shared" ref="S42:S46" si="43">R42*30</f>
        <v>0</v>
      </c>
      <c r="T42" s="52"/>
      <c r="U42" s="31">
        <f>SUM(C17,F17,I17,L17,O17,R17,C42,F42,I42,L42,O42,R42)</f>
        <v>17716</v>
      </c>
      <c r="V42" s="31">
        <f>SUM(D17,G17,J17,M17,P17,S17,D42,G42,J42,M42,P42,S42)</f>
        <v>531480</v>
      </c>
      <c r="W42" s="32">
        <f>SUM(E17,H17,K17,N17,Q17,T17,E42,H42,K42,N42,Q42,T42)</f>
        <v>4393.3649999999998</v>
      </c>
    </row>
    <row r="43" spans="2:28" ht="18" customHeight="1">
      <c r="B43" s="49" t="s">
        <v>25</v>
      </c>
      <c r="C43" s="51">
        <v>0</v>
      </c>
      <c r="D43" s="25">
        <f t="shared" ref="D43:D46" si="44">C43*30</f>
        <v>0</v>
      </c>
      <c r="E43" s="52">
        <v>0</v>
      </c>
      <c r="F43" s="27">
        <v>0</v>
      </c>
      <c r="G43" s="25">
        <f t="shared" si="39"/>
        <v>0</v>
      </c>
      <c r="H43" s="16">
        <v>0</v>
      </c>
      <c r="I43" s="51">
        <v>0</v>
      </c>
      <c r="J43" s="25">
        <f t="shared" si="40"/>
        <v>0</v>
      </c>
      <c r="K43" s="52">
        <v>0</v>
      </c>
      <c r="L43" s="51">
        <v>0</v>
      </c>
      <c r="M43" s="25">
        <f t="shared" si="41"/>
        <v>0</v>
      </c>
      <c r="N43" s="52">
        <v>0</v>
      </c>
      <c r="O43" s="51"/>
      <c r="P43" s="25">
        <f t="shared" si="42"/>
        <v>0</v>
      </c>
      <c r="Q43" s="52"/>
      <c r="R43" s="51"/>
      <c r="S43" s="25">
        <f t="shared" si="43"/>
        <v>0</v>
      </c>
      <c r="T43" s="52"/>
      <c r="U43" s="31">
        <f t="shared" ref="U43:W48" si="45">SUM(C18,F18,I18,L18,O18,R18,C43,F43,I43,L43,O43,R43)</f>
        <v>0</v>
      </c>
      <c r="V43" s="31">
        <f t="shared" si="45"/>
        <v>0</v>
      </c>
      <c r="W43" s="32">
        <f t="shared" si="45"/>
        <v>0</v>
      </c>
    </row>
    <row r="44" spans="2:28" ht="18" customHeight="1">
      <c r="B44" s="23" t="s">
        <v>26</v>
      </c>
      <c r="C44" s="29">
        <v>44</v>
      </c>
      <c r="D44" s="25">
        <f t="shared" si="44"/>
        <v>1320</v>
      </c>
      <c r="E44" s="30">
        <v>9.2270000000000003</v>
      </c>
      <c r="F44" s="27">
        <v>0</v>
      </c>
      <c r="G44" s="25">
        <f t="shared" si="39"/>
        <v>0</v>
      </c>
      <c r="H44" s="28">
        <v>0</v>
      </c>
      <c r="I44" s="29">
        <v>46</v>
      </c>
      <c r="J44" s="25">
        <f t="shared" si="40"/>
        <v>1380</v>
      </c>
      <c r="K44" s="30">
        <v>7.452</v>
      </c>
      <c r="L44" s="29">
        <v>42</v>
      </c>
      <c r="M44" s="25">
        <f t="shared" si="41"/>
        <v>1260</v>
      </c>
      <c r="N44" s="30">
        <v>7.673</v>
      </c>
      <c r="O44" s="29"/>
      <c r="P44" s="25">
        <f t="shared" si="42"/>
        <v>0</v>
      </c>
      <c r="Q44" s="30"/>
      <c r="R44" s="29"/>
      <c r="S44" s="25">
        <f t="shared" si="43"/>
        <v>0</v>
      </c>
      <c r="T44" s="30"/>
      <c r="U44" s="31">
        <f t="shared" si="45"/>
        <v>259</v>
      </c>
      <c r="V44" s="31">
        <f t="shared" si="45"/>
        <v>7584</v>
      </c>
      <c r="W44" s="32">
        <f t="shared" si="45"/>
        <v>48.733000000000004</v>
      </c>
    </row>
    <row r="45" spans="2:28" ht="18" customHeight="1">
      <c r="B45" s="23" t="s">
        <v>27</v>
      </c>
      <c r="C45" s="29">
        <v>0</v>
      </c>
      <c r="D45" s="25">
        <f t="shared" si="44"/>
        <v>0</v>
      </c>
      <c r="E45" s="30">
        <v>0</v>
      </c>
      <c r="F45" s="27">
        <v>0</v>
      </c>
      <c r="G45" s="25">
        <f t="shared" si="39"/>
        <v>0</v>
      </c>
      <c r="H45" s="28">
        <v>0</v>
      </c>
      <c r="I45" s="29">
        <v>0</v>
      </c>
      <c r="J45" s="25">
        <f t="shared" si="40"/>
        <v>0</v>
      </c>
      <c r="K45" s="30">
        <v>0</v>
      </c>
      <c r="L45" s="29">
        <v>0</v>
      </c>
      <c r="M45" s="25">
        <f t="shared" si="41"/>
        <v>0</v>
      </c>
      <c r="N45" s="30">
        <v>0</v>
      </c>
      <c r="O45" s="29"/>
      <c r="P45" s="25">
        <f t="shared" si="42"/>
        <v>0</v>
      </c>
      <c r="Q45" s="30"/>
      <c r="R45" s="29"/>
      <c r="S45" s="25">
        <f t="shared" si="43"/>
        <v>0</v>
      </c>
      <c r="T45" s="30"/>
      <c r="U45" s="31">
        <f t="shared" si="45"/>
        <v>0</v>
      </c>
      <c r="V45" s="31">
        <f t="shared" si="45"/>
        <v>0</v>
      </c>
      <c r="W45" s="32">
        <f t="shared" si="45"/>
        <v>0</v>
      </c>
    </row>
    <row r="46" spans="2:28" ht="18" customHeight="1">
      <c r="B46" s="23" t="s">
        <v>28</v>
      </c>
      <c r="C46" s="29">
        <v>0</v>
      </c>
      <c r="D46" s="25">
        <f t="shared" si="44"/>
        <v>0</v>
      </c>
      <c r="E46" s="30">
        <v>0</v>
      </c>
      <c r="F46" s="27">
        <v>0</v>
      </c>
      <c r="G46" s="25">
        <f t="shared" si="39"/>
        <v>0</v>
      </c>
      <c r="H46" s="28">
        <v>0</v>
      </c>
      <c r="I46" s="29">
        <v>0</v>
      </c>
      <c r="J46" s="25">
        <f t="shared" si="40"/>
        <v>0</v>
      </c>
      <c r="K46" s="30">
        <v>0</v>
      </c>
      <c r="L46" s="29">
        <v>0</v>
      </c>
      <c r="M46" s="25">
        <f t="shared" si="41"/>
        <v>0</v>
      </c>
      <c r="N46" s="30">
        <v>0</v>
      </c>
      <c r="O46" s="29"/>
      <c r="P46" s="25">
        <f t="shared" si="42"/>
        <v>0</v>
      </c>
      <c r="Q46" s="30"/>
      <c r="R46" s="29"/>
      <c r="S46" s="25">
        <f t="shared" si="43"/>
        <v>0</v>
      </c>
      <c r="T46" s="30"/>
      <c r="U46" s="31">
        <f t="shared" si="45"/>
        <v>0</v>
      </c>
      <c r="V46" s="31">
        <f t="shared" si="45"/>
        <v>0</v>
      </c>
      <c r="W46" s="32">
        <f t="shared" si="45"/>
        <v>0</v>
      </c>
    </row>
    <row r="47" spans="2:28" ht="18" customHeight="1">
      <c r="B47" s="23" t="s">
        <v>29</v>
      </c>
      <c r="C47" s="29">
        <v>25</v>
      </c>
      <c r="D47" s="25">
        <f>C47*24</f>
        <v>600</v>
      </c>
      <c r="E47" s="30">
        <v>3.41</v>
      </c>
      <c r="F47" s="27">
        <v>31</v>
      </c>
      <c r="G47" s="25">
        <f>F47*24</f>
        <v>744</v>
      </c>
      <c r="H47" s="28">
        <v>5.6790000000000003</v>
      </c>
      <c r="I47" s="29">
        <v>0</v>
      </c>
      <c r="J47" s="25">
        <f>I47*24</f>
        <v>0</v>
      </c>
      <c r="K47" s="30">
        <v>0</v>
      </c>
      <c r="L47" s="29">
        <v>2</v>
      </c>
      <c r="M47" s="25">
        <f>L47*24</f>
        <v>48</v>
      </c>
      <c r="N47" s="30">
        <v>0.34899999999999998</v>
      </c>
      <c r="O47" s="29"/>
      <c r="P47" s="25">
        <f>O47*24</f>
        <v>0</v>
      </c>
      <c r="Q47" s="30"/>
      <c r="R47" s="29"/>
      <c r="S47" s="25">
        <f>R47*24</f>
        <v>0</v>
      </c>
      <c r="T47" s="30"/>
      <c r="U47" s="31">
        <f t="shared" si="45"/>
        <v>164</v>
      </c>
      <c r="V47" s="31">
        <f t="shared" si="45"/>
        <v>3936</v>
      </c>
      <c r="W47" s="32">
        <f t="shared" si="45"/>
        <v>28.785</v>
      </c>
      <c r="Z47" s="66"/>
    </row>
    <row r="48" spans="2:28" ht="18" customHeight="1" thickBot="1">
      <c r="B48" s="55" t="s">
        <v>30</v>
      </c>
      <c r="C48" s="56">
        <v>162</v>
      </c>
      <c r="D48" s="36">
        <f>C48*24</f>
        <v>3888</v>
      </c>
      <c r="E48" s="57">
        <v>22.096</v>
      </c>
      <c r="F48" s="38">
        <v>138</v>
      </c>
      <c r="G48" s="36">
        <f>F48*24</f>
        <v>3312</v>
      </c>
      <c r="H48" s="39">
        <v>45.66</v>
      </c>
      <c r="I48" s="56">
        <v>153</v>
      </c>
      <c r="J48" s="36">
        <f>I48*24</f>
        <v>3672</v>
      </c>
      <c r="K48" s="57">
        <v>28.425999999999998</v>
      </c>
      <c r="L48" s="56">
        <v>312</v>
      </c>
      <c r="M48" s="36">
        <f>L48*24</f>
        <v>7488</v>
      </c>
      <c r="N48" s="57">
        <v>83.094999999999999</v>
      </c>
      <c r="O48" s="56"/>
      <c r="P48" s="36">
        <f>O48*24</f>
        <v>0</v>
      </c>
      <c r="Q48" s="57"/>
      <c r="R48" s="56"/>
      <c r="S48" s="36">
        <f>R48*24</f>
        <v>0</v>
      </c>
      <c r="T48" s="57"/>
      <c r="U48" s="31">
        <f t="shared" si="45"/>
        <v>2558</v>
      </c>
      <c r="V48" s="31">
        <f t="shared" si="45"/>
        <v>61392</v>
      </c>
      <c r="W48" s="32">
        <f t="shared" si="45"/>
        <v>442.19999999999993</v>
      </c>
    </row>
    <row r="49" spans="2:28" ht="18" customHeight="1" thickTop="1" thickBot="1">
      <c r="B49" s="42" t="s">
        <v>31</v>
      </c>
      <c r="C49" s="46">
        <f>SUM(C31:C36,C38:C40,C42:C48)</f>
        <v>16094</v>
      </c>
      <c r="D49" s="46">
        <f t="shared" ref="D49:T49" si="46">SUM(D31:D36,D38:D40,D42:D48)</f>
        <v>481658.4</v>
      </c>
      <c r="E49" s="47">
        <f>SUM(E31:E36,E38:E40,E42:E48)</f>
        <v>3053.4769999999999</v>
      </c>
      <c r="F49" s="46">
        <f>SUM(F31:F36,F38:F40,F42:F48)</f>
        <v>13725</v>
      </c>
      <c r="G49" s="46">
        <f t="shared" si="46"/>
        <v>410716.2</v>
      </c>
      <c r="H49" s="47">
        <f t="shared" si="46"/>
        <v>2592.4929999999999</v>
      </c>
      <c r="I49" s="46">
        <f>SUM(I31:I36,I38:I40,I42:I48)</f>
        <v>15269</v>
      </c>
      <c r="J49" s="46">
        <f t="shared" si="46"/>
        <v>457152</v>
      </c>
      <c r="K49" s="47">
        <f>SUM(K31:K36,K38:K40,K42:K48)</f>
        <v>3177.85</v>
      </c>
      <c r="L49" s="46">
        <f t="shared" si="46"/>
        <v>16140</v>
      </c>
      <c r="M49" s="46">
        <f t="shared" si="46"/>
        <v>482296.2</v>
      </c>
      <c r="N49" s="47">
        <f t="shared" si="46"/>
        <v>3663.1329999999994</v>
      </c>
      <c r="O49" s="46">
        <f t="shared" si="46"/>
        <v>0</v>
      </c>
      <c r="P49" s="46">
        <f t="shared" si="46"/>
        <v>0</v>
      </c>
      <c r="Q49" s="47">
        <f t="shared" si="46"/>
        <v>0</v>
      </c>
      <c r="R49" s="46">
        <f>SUM(R31:R36,R38:R40,R42:R48)</f>
        <v>0</v>
      </c>
      <c r="S49" s="46">
        <f t="shared" si="46"/>
        <v>0</v>
      </c>
      <c r="T49" s="47">
        <f t="shared" si="46"/>
        <v>0</v>
      </c>
      <c r="U49" s="46">
        <f>SUM(U31:U36,U38:U40,U42:U48)</f>
        <v>152556</v>
      </c>
      <c r="V49" s="46">
        <f>SUM(V31:V36,V38:V40,V42:V48)</f>
        <v>4558970.0999999996</v>
      </c>
      <c r="W49" s="47">
        <f>SUM(W31:W36,W38:W40,W42:W48)</f>
        <v>28077.538999999997</v>
      </c>
      <c r="Z49" s="65"/>
      <c r="AA49" s="65"/>
    </row>
    <row r="50" spans="2:28" ht="18" customHeight="1" thickTop="1" thickBot="1">
      <c r="B50" s="42" t="s">
        <v>32</v>
      </c>
      <c r="C50" s="46" t="s">
        <v>33</v>
      </c>
      <c r="D50" s="46" t="s">
        <v>33</v>
      </c>
      <c r="E50" s="47">
        <v>2897.8159999999998</v>
      </c>
      <c r="F50" s="46" t="s">
        <v>33</v>
      </c>
      <c r="G50" s="46" t="s">
        <v>33</v>
      </c>
      <c r="H50" s="47">
        <v>2617.3820000000001</v>
      </c>
      <c r="I50" s="46" t="s">
        <v>33</v>
      </c>
      <c r="J50" s="46" t="s">
        <v>33</v>
      </c>
      <c r="K50" s="47">
        <v>2897.8159999999998</v>
      </c>
      <c r="L50" s="46" t="s">
        <v>33</v>
      </c>
      <c r="M50" s="46" t="s">
        <v>33</v>
      </c>
      <c r="N50" s="47">
        <v>2804.3380000000002</v>
      </c>
      <c r="O50" s="46" t="s">
        <v>33</v>
      </c>
      <c r="P50" s="46" t="s">
        <v>33</v>
      </c>
      <c r="Q50" s="47"/>
      <c r="R50" s="46" t="s">
        <v>33</v>
      </c>
      <c r="S50" s="46" t="s">
        <v>33</v>
      </c>
      <c r="T50" s="47"/>
      <c r="U50" s="46" t="s">
        <v>33</v>
      </c>
      <c r="V50" s="46" t="s">
        <v>33</v>
      </c>
      <c r="W50" s="32">
        <f>SUM(E25,H25,K25,N25,Q25,T25,E50,H50,K50,N50,Q50,T50)</f>
        <v>28417.291999999998</v>
      </c>
    </row>
    <row r="51" spans="2:28" s="2" customFormat="1" ht="18" customHeight="1" thickTop="1" thickBot="1">
      <c r="B51" s="42" t="s">
        <v>34</v>
      </c>
      <c r="C51" s="46" t="s">
        <v>33</v>
      </c>
      <c r="D51" s="46" t="s">
        <v>33</v>
      </c>
      <c r="E51" s="47">
        <f>E49-E50</f>
        <v>155.66100000000006</v>
      </c>
      <c r="F51" s="46" t="s">
        <v>33</v>
      </c>
      <c r="G51" s="46" t="s">
        <v>33</v>
      </c>
      <c r="H51" s="47">
        <f>H49-H50</f>
        <v>-24.889000000000124</v>
      </c>
      <c r="I51" s="46" t="s">
        <v>33</v>
      </c>
      <c r="J51" s="46" t="s">
        <v>33</v>
      </c>
      <c r="K51" s="47">
        <f>K49-K50</f>
        <v>280.03400000000011</v>
      </c>
      <c r="L51" s="46" t="s">
        <v>33</v>
      </c>
      <c r="M51" s="46" t="s">
        <v>33</v>
      </c>
      <c r="N51" s="47">
        <f>N49-N50</f>
        <v>858.79499999999916</v>
      </c>
      <c r="O51" s="46" t="s">
        <v>33</v>
      </c>
      <c r="P51" s="46" t="s">
        <v>33</v>
      </c>
      <c r="Q51" s="47">
        <f>Q49-Q50</f>
        <v>0</v>
      </c>
      <c r="R51" s="46" t="s">
        <v>33</v>
      </c>
      <c r="S51" s="46" t="s">
        <v>33</v>
      </c>
      <c r="T51" s="47">
        <f>T49-T50</f>
        <v>0</v>
      </c>
      <c r="U51" s="46" t="s">
        <v>33</v>
      </c>
      <c r="V51" s="46" t="s">
        <v>33</v>
      </c>
      <c r="W51" s="47">
        <f>W49-W50</f>
        <v>-339.75300000000061</v>
      </c>
      <c r="Y51" s="1"/>
      <c r="Z51" s="1"/>
      <c r="AA51" s="1"/>
      <c r="AB51" s="1"/>
    </row>
    <row r="52" spans="2:28" s="2" customFormat="1" ht="18" customHeight="1" thickTop="1" thickBot="1">
      <c r="B52" s="42" t="s">
        <v>35</v>
      </c>
      <c r="C52" s="46" t="s">
        <v>33</v>
      </c>
      <c r="D52" s="46" t="s">
        <v>33</v>
      </c>
      <c r="E52" s="59">
        <f>E51/E50</f>
        <v>5.3716661099255464E-2</v>
      </c>
      <c r="F52" s="46" t="s">
        <v>33</v>
      </c>
      <c r="G52" s="46" t="s">
        <v>33</v>
      </c>
      <c r="H52" s="69">
        <f>H51/H50</f>
        <v>-9.5091201819222891E-3</v>
      </c>
      <c r="I52" s="46" t="s">
        <v>33</v>
      </c>
      <c r="J52" s="46" t="s">
        <v>33</v>
      </c>
      <c r="K52" s="69">
        <f>K51/K50</f>
        <v>9.6636225350401866E-2</v>
      </c>
      <c r="L52" s="46" t="s">
        <v>33</v>
      </c>
      <c r="M52" s="46" t="s">
        <v>33</v>
      </c>
      <c r="N52" s="69">
        <f>N51/N50</f>
        <v>0.30623804976432911</v>
      </c>
      <c r="O52" s="46" t="s">
        <v>33</v>
      </c>
      <c r="P52" s="46" t="s">
        <v>33</v>
      </c>
      <c r="Q52" s="69" t="e">
        <f>Q51/Q50</f>
        <v>#DIV/0!</v>
      </c>
      <c r="R52" s="46" t="s">
        <v>33</v>
      </c>
      <c r="S52" s="46" t="s">
        <v>33</v>
      </c>
      <c r="T52" s="69" t="e">
        <f>T51/T50</f>
        <v>#DIV/0!</v>
      </c>
      <c r="U52" s="46" t="s">
        <v>33</v>
      </c>
      <c r="V52" s="46" t="s">
        <v>33</v>
      </c>
      <c r="W52" s="59">
        <f>W51/W50</f>
        <v>-1.1955854203138027E-2</v>
      </c>
      <c r="Y52" s="1"/>
      <c r="Z52" s="1"/>
      <c r="AA52" s="1"/>
      <c r="AB52" s="1"/>
    </row>
    <row r="53" spans="2:28" ht="18" customHeight="1" thickTop="1"/>
    <row r="54" spans="2:28" ht="18" customHeight="1">
      <c r="F54" s="58"/>
      <c r="H54" s="33"/>
    </row>
    <row r="55" spans="2:28" s="2" customFormat="1" ht="18" customHeight="1">
      <c r="B55" s="1"/>
      <c r="L55" s="58"/>
      <c r="N55" s="33"/>
      <c r="Y55" s="1"/>
      <c r="Z55" s="1"/>
      <c r="AA55" s="1"/>
      <c r="AB55" s="1"/>
    </row>
    <row r="56" spans="2:28" ht="18" customHeight="1">
      <c r="L56" s="2">
        <f>L42/2</f>
        <v>871</v>
      </c>
    </row>
  </sheetData>
  <mergeCells count="18">
    <mergeCell ref="R29:T29"/>
    <mergeCell ref="U29:W29"/>
    <mergeCell ref="B29:B30"/>
    <mergeCell ref="C29:E29"/>
    <mergeCell ref="F29:H29"/>
    <mergeCell ref="I29:K29"/>
    <mergeCell ref="L29:N29"/>
    <mergeCell ref="O29:Q29"/>
    <mergeCell ref="B2:W2"/>
    <mergeCell ref="V3:W3"/>
    <mergeCell ref="B4:B5"/>
    <mergeCell ref="C4:E4"/>
    <mergeCell ref="F4:H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Musharraf</dc:creator>
  <cp:lastModifiedBy>Musharraf</cp:lastModifiedBy>
  <dcterms:created xsi:type="dcterms:W3CDTF">2026-05-17T08:18:46Z</dcterms:created>
  <dcterms:modified xsi:type="dcterms:W3CDTF">2026-05-17T08:19:49Z</dcterms:modified>
</cp:coreProperties>
</file>
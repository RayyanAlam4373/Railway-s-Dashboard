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20" i="1"/>
  <c r="G20"/>
  <c r="F20"/>
  <c r="E20"/>
  <c r="J19"/>
  <c r="I19"/>
  <c r="J18"/>
  <c r="I18"/>
  <c r="J17"/>
  <c r="I17"/>
  <c r="J16"/>
  <c r="I16"/>
  <c r="J15"/>
  <c r="I15"/>
  <c r="J14"/>
  <c r="I14"/>
  <c r="J13"/>
  <c r="I13"/>
  <c r="J12"/>
  <c r="I12"/>
  <c r="J11"/>
  <c r="I11"/>
  <c r="J10"/>
  <c r="I10"/>
  <c r="J9"/>
  <c r="I9"/>
  <c r="J8"/>
  <c r="J20" s="1"/>
  <c r="I8"/>
  <c r="I20" s="1"/>
</calcChain>
</file>

<file path=xl/sharedStrings.xml><?xml version="1.0" encoding="utf-8"?>
<sst xmlns="http://schemas.openxmlformats.org/spreadsheetml/2006/main" count="25" uniqueCount="20">
  <si>
    <t>Month Wise Cargo Express Earning 501-Up and 503-Up (2025-2026)</t>
  </si>
  <si>
    <t>Month</t>
  </si>
  <si>
    <t>Year</t>
  </si>
  <si>
    <t>501-Up (KBX)</t>
  </si>
  <si>
    <t>503-Up (KYC)</t>
  </si>
  <si>
    <t>Total</t>
  </si>
  <si>
    <t>No. of 
Wagon (Unit)</t>
  </si>
  <si>
    <t>Earning
(In Million)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</si>
  <si>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</si>
  <si>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</si>
  <si>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</si>
  <si>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</si>
  <si>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</si>
  <si>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</si>
  <si>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</si>
  <si>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</si>
  <si>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</si>
  <si>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</si>
  <si>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</si>
  <si>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 xml:space="preserve">June 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</si>
</sst>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.000"/>
  </numFmts>
  <fonts count="3">
    <font>
      <sz val="11"/>
      <color theme="1"/>
      <name val="Calibri"/>
      <family val="2"/>
      <charset val="1"/>
      <scheme val="minor"/>
    </font>
    <font>
      <b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3" fontId="0" fillId="0" borderId="2" xfId="0" applyNumberFormat="1" applyFont="1" applyBorder="1" applyAlignment="1">
      <alignment horizontal="center" vertical="center" wrapText="1"/>
    </xf>
    <xf numFmtId="164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3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 vertical="center"/>
    </xf>
    <xf numFmtId="165" fontId="0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4:K21"/>
  <sheetViews>
    <sheetView tabSelected="1" workbookViewId="0">
      <selection activeCell="F9" sqref="F9"/>
    </sheetView>
  </sheetViews>
  <sheetFormatPr defaultRowHeight="15"/>
  <cols>
    <col min="3" max="10" width="11.42578125" customWidth="1"/>
  </cols>
  <sheetData>
    <row r="4" spans="2:11" ht="15.75">
      <c r="B4" s="1"/>
      <c r="C4" s="2" t="s">
        <v>0</v>
      </c>
      <c r="D4" s="2"/>
      <c r="E4" s="2"/>
      <c r="F4" s="2"/>
      <c r="G4" s="2"/>
      <c r="H4" s="2"/>
      <c r="I4" s="2"/>
      <c r="J4" s="2"/>
      <c r="K4" s="1"/>
    </row>
    <row r="5" spans="2:11">
      <c r="B5" s="1"/>
      <c r="C5" s="3"/>
      <c r="D5" s="4"/>
      <c r="E5" s="1"/>
      <c r="F5" s="1"/>
      <c r="G5" s="1"/>
      <c r="H5" s="1"/>
      <c r="I5" s="1"/>
      <c r="J5" s="1"/>
      <c r="K5" s="1"/>
    </row>
    <row r="6" spans="2:11">
      <c r="B6" s="1"/>
      <c r="C6" s="5" t="s">
        <v>1</v>
      </c>
      <c r="D6" s="6" t="s">
        <v>2</v>
      </c>
      <c r="E6" s="7" t="s">
        <v>3</v>
      </c>
      <c r="F6" s="7"/>
      <c r="G6" s="7" t="s">
        <v>4</v>
      </c>
      <c r="H6" s="7"/>
      <c r="I6" s="7" t="s">
        <v>5</v>
      </c>
      <c r="J6" s="7"/>
      <c r="K6" s="1"/>
    </row>
    <row r="7" spans="2:11" ht="45">
      <c r="B7" s="1"/>
      <c r="C7" s="8"/>
      <c r="D7" s="9"/>
      <c r="E7" s="10" t="s">
        <v>6</v>
      </c>
      <c r="F7" s="10" t="s">
        <v>7</v>
      </c>
      <c r="G7" s="10" t="s">
        <v>6</v>
      </c>
      <c r="H7" s="10" t="s">
        <v>7</v>
      </c>
      <c r="I7" s="10" t="s">
        <v>6</v>
      </c>
      <c r="J7" s="10" t="s">
        <v>7</v>
      </c>
      <c r="K7" s="1"/>
    </row>
    <row r="8" spans="2:11" ht="23.25" customHeight="1">
      <c r="B8" s="1"/>
      <c r="C8" s="11" t="s">
        <v>8</v>
      </c>
      <c r="D8" s="12">
        <v>2025</v>
      </c>
      <c r="E8" s="13">
        <v>1742</v>
      </c>
      <c r="F8" s="14">
        <v>334.82499999999999</v>
      </c>
      <c r="G8" s="15">
        <v>414</v>
      </c>
      <c r="H8" s="14">
        <v>58.468000000000004</v>
      </c>
      <c r="I8" s="16">
        <f>SUM(E8,G8)</f>
        <v>2156</v>
      </c>
      <c r="J8" s="17">
        <f>SUM(F8,H8)</f>
        <v>393.29300000000001</v>
      </c>
      <c r="K8" s="1"/>
    </row>
    <row r="9" spans="2:11" ht="23.25" customHeight="1">
      <c r="B9" s="1"/>
      <c r="C9" s="11" t="s">
        <v>9</v>
      </c>
      <c r="D9" s="12">
        <v>2025</v>
      </c>
      <c r="E9" s="13">
        <v>1602</v>
      </c>
      <c r="F9" s="14">
        <v>307.93400000000003</v>
      </c>
      <c r="G9" s="15">
        <v>276</v>
      </c>
      <c r="H9" s="14">
        <v>38.948999999999998</v>
      </c>
      <c r="I9" s="16">
        <f t="shared" ref="I9:J19" si="0">SUM(E9,G9)</f>
        <v>1878</v>
      </c>
      <c r="J9" s="17">
        <f t="shared" si="0"/>
        <v>346.88300000000004</v>
      </c>
      <c r="K9" s="1"/>
    </row>
    <row r="10" spans="2:11" ht="23.25" customHeight="1">
      <c r="B10" s="1"/>
      <c r="C10" s="11" t="s">
        <v>10</v>
      </c>
      <c r="D10" s="12">
        <v>2025</v>
      </c>
      <c r="E10" s="13">
        <v>1450</v>
      </c>
      <c r="F10" s="14">
        <v>278.80200000000002</v>
      </c>
      <c r="G10" s="15">
        <v>216</v>
      </c>
      <c r="H10" s="18">
        <v>30.088000000000001</v>
      </c>
      <c r="I10" s="16">
        <f t="shared" si="0"/>
        <v>1666</v>
      </c>
      <c r="J10" s="17">
        <f t="shared" si="0"/>
        <v>308.89000000000004</v>
      </c>
      <c r="K10" s="1"/>
    </row>
    <row r="11" spans="2:11" ht="23.25" customHeight="1">
      <c r="B11" s="1"/>
      <c r="C11" s="11" t="s">
        <v>11</v>
      </c>
      <c r="D11" s="12">
        <v>2025</v>
      </c>
      <c r="E11" s="13">
        <v>1308</v>
      </c>
      <c r="F11" s="14">
        <v>310.517</v>
      </c>
      <c r="G11" s="15">
        <v>218</v>
      </c>
      <c r="H11" s="14">
        <v>36.57</v>
      </c>
      <c r="I11" s="16">
        <f t="shared" si="0"/>
        <v>1526</v>
      </c>
      <c r="J11" s="17">
        <f t="shared" si="0"/>
        <v>347.08699999999999</v>
      </c>
      <c r="K11" s="1"/>
    </row>
    <row r="12" spans="2:11" ht="23.25" customHeight="1">
      <c r="B12" s="1"/>
      <c r="C12" s="19" t="s">
        <v>12</v>
      </c>
      <c r="D12" s="12">
        <v>2025</v>
      </c>
      <c r="E12" s="13">
        <v>1404</v>
      </c>
      <c r="F12" s="14">
        <v>424.00799999999998</v>
      </c>
      <c r="G12" s="15">
        <v>334</v>
      </c>
      <c r="H12" s="14">
        <v>72</v>
      </c>
      <c r="I12" s="16">
        <f t="shared" si="0"/>
        <v>1738</v>
      </c>
      <c r="J12" s="17">
        <f t="shared" si="0"/>
        <v>496.00799999999998</v>
      </c>
      <c r="K12" s="1"/>
    </row>
    <row r="13" spans="2:11" ht="23.25" customHeight="1">
      <c r="B13" s="1"/>
      <c r="C13" s="11" t="s">
        <v>13</v>
      </c>
      <c r="D13" s="12">
        <v>2025</v>
      </c>
      <c r="E13" s="13">
        <v>1324</v>
      </c>
      <c r="F13" s="14">
        <v>399.84800000000001</v>
      </c>
      <c r="G13" s="15">
        <v>416</v>
      </c>
      <c r="H13" s="14">
        <v>90.48</v>
      </c>
      <c r="I13" s="16">
        <f t="shared" si="0"/>
        <v>1740</v>
      </c>
      <c r="J13" s="17">
        <f t="shared" si="0"/>
        <v>490.32800000000003</v>
      </c>
      <c r="K13" s="1"/>
    </row>
    <row r="14" spans="2:11" ht="23.25" customHeight="1">
      <c r="B14" s="1"/>
      <c r="C14" s="11" t="s">
        <v>14</v>
      </c>
      <c r="D14" s="12">
        <v>2026</v>
      </c>
      <c r="E14" s="13">
        <v>1746</v>
      </c>
      <c r="F14" s="14">
        <v>527.29200000000003</v>
      </c>
      <c r="G14" s="15">
        <v>424</v>
      </c>
      <c r="H14" s="14">
        <v>93.24</v>
      </c>
      <c r="I14" s="16">
        <f t="shared" si="0"/>
        <v>2170</v>
      </c>
      <c r="J14" s="17">
        <f t="shared" si="0"/>
        <v>620.53200000000004</v>
      </c>
      <c r="K14" s="1"/>
    </row>
    <row r="15" spans="2:11" ht="23.25" customHeight="1">
      <c r="B15" s="1"/>
      <c r="C15" s="19" t="s">
        <v>15</v>
      </c>
      <c r="D15" s="12">
        <v>2026</v>
      </c>
      <c r="E15" s="13">
        <v>1384</v>
      </c>
      <c r="F15" s="14">
        <v>417.96800000000002</v>
      </c>
      <c r="G15" s="15">
        <v>320</v>
      </c>
      <c r="H15" s="14">
        <v>69.48</v>
      </c>
      <c r="I15" s="16">
        <f t="shared" si="0"/>
        <v>1704</v>
      </c>
      <c r="J15" s="17">
        <f t="shared" si="0"/>
        <v>487.44800000000004</v>
      </c>
      <c r="K15" s="1"/>
    </row>
    <row r="16" spans="2:11" ht="23.25" customHeight="1">
      <c r="B16" s="1"/>
      <c r="C16" s="20" t="s">
        <v>16</v>
      </c>
      <c r="D16" s="12">
        <v>2026</v>
      </c>
      <c r="E16" s="21">
        <v>1154</v>
      </c>
      <c r="F16" s="22">
        <v>353.94400000000002</v>
      </c>
      <c r="G16" s="23">
        <v>242</v>
      </c>
      <c r="H16" s="14">
        <v>49.68</v>
      </c>
      <c r="I16" s="16">
        <f t="shared" si="0"/>
        <v>1396</v>
      </c>
      <c r="J16" s="17">
        <f t="shared" si="0"/>
        <v>403.62400000000002</v>
      </c>
      <c r="K16" s="1"/>
    </row>
    <row r="17" spans="2:11" ht="23.25" customHeight="1">
      <c r="B17" s="1"/>
      <c r="C17" s="20" t="s">
        <v>17</v>
      </c>
      <c r="D17" s="12">
        <v>2026</v>
      </c>
      <c r="E17" s="21">
        <v>1416</v>
      </c>
      <c r="F17" s="22">
        <v>427.63200000000001</v>
      </c>
      <c r="G17" s="23">
        <v>326</v>
      </c>
      <c r="H17" s="14">
        <v>71.64</v>
      </c>
      <c r="I17" s="16">
        <f t="shared" si="0"/>
        <v>1742</v>
      </c>
      <c r="J17" s="17">
        <f t="shared" si="0"/>
        <v>499.27199999999999</v>
      </c>
      <c r="K17" s="1"/>
    </row>
    <row r="18" spans="2:11" ht="23.25" customHeight="1">
      <c r="B18" s="1"/>
      <c r="C18" s="20" t="s">
        <v>18</v>
      </c>
      <c r="D18" s="12">
        <v>2026</v>
      </c>
      <c r="E18" s="21"/>
      <c r="F18" s="22"/>
      <c r="G18" s="23"/>
      <c r="H18" s="24"/>
      <c r="I18" s="16">
        <f t="shared" si="0"/>
        <v>0</v>
      </c>
      <c r="J18" s="17">
        <f t="shared" si="0"/>
        <v>0</v>
      </c>
      <c r="K18" s="1"/>
    </row>
    <row r="19" spans="2:11" ht="23.25" customHeight="1" thickBot="1">
      <c r="B19" s="1"/>
      <c r="C19" s="25" t="s">
        <v>19</v>
      </c>
      <c r="D19" s="12">
        <v>2026</v>
      </c>
      <c r="E19" s="26"/>
      <c r="F19" s="27"/>
      <c r="G19" s="28"/>
      <c r="H19" s="29"/>
      <c r="I19" s="30">
        <f t="shared" si="0"/>
        <v>0</v>
      </c>
      <c r="J19" s="31">
        <f t="shared" si="0"/>
        <v>0</v>
      </c>
      <c r="K19" s="1"/>
    </row>
    <row r="20" spans="2:11" ht="23.25" customHeight="1" thickTop="1" thickBot="1">
      <c r="B20" s="1"/>
      <c r="C20" s="32" t="s">
        <v>5</v>
      </c>
      <c r="D20" s="32"/>
      <c r="E20" s="33">
        <f>SUM(E8:E19)</f>
        <v>14530</v>
      </c>
      <c r="F20" s="34">
        <f>SUM(F8:F19)</f>
        <v>3782.77</v>
      </c>
      <c r="G20" s="35">
        <f>SUM(G8:G19)</f>
        <v>3186</v>
      </c>
      <c r="H20" s="34">
        <f t="shared" ref="H20:J20" si="1">SUM(H8:H19)</f>
        <v>610.59500000000003</v>
      </c>
      <c r="I20" s="33">
        <f t="shared" si="1"/>
        <v>17716</v>
      </c>
      <c r="J20" s="34">
        <f t="shared" si="1"/>
        <v>4393.3649999999998</v>
      </c>
      <c r="K20" s="1"/>
    </row>
    <row r="21" spans="2:11" ht="15.75" thickTop="1">
      <c r="B21" s="1"/>
      <c r="C21" s="3"/>
      <c r="D21" s="4"/>
      <c r="E21" s="1"/>
      <c r="F21" s="1"/>
      <c r="G21" s="1"/>
      <c r="H21" s="1"/>
      <c r="I21" s="1"/>
      <c r="J21" s="1"/>
      <c r="K21" s="1"/>
    </row>
  </sheetData>
  <mergeCells count="7">
    <mergeCell ref="C20:D20"/>
    <mergeCell ref="C4:J4"/>
    <mergeCell ref="C6:C7"/>
    <mergeCell ref="D6:D7"/>
    <mergeCell ref="E6:F6"/>
    <mergeCell ref="G6:H6"/>
    <mergeCell ref="I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Musharraf</dc:creator>
  <cp:lastModifiedBy>Musharraf</cp:lastModifiedBy>
  <dcterms:created xsi:type="dcterms:W3CDTF">2026-05-17T08:17:29Z</dcterms:created>
  <dcterms:modified xsi:type="dcterms:W3CDTF">2026-05-17T08:18:15Z</dcterms:modified>
</cp:coreProperties>
</file>
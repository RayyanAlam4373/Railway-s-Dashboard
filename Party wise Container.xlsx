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S37" i="1"/>
  <c r="K37"/>
  <c r="W36"/>
  <c r="V36"/>
  <c r="W37" s="1"/>
  <c r="U36"/>
  <c r="T36"/>
  <c r="U37" s="1"/>
  <c r="S36"/>
  <c r="R36"/>
  <c r="Q36"/>
  <c r="P36"/>
  <c r="Q37" s="1"/>
  <c r="O36"/>
  <c r="N36"/>
  <c r="O37" s="1"/>
  <c r="M36"/>
  <c r="L36"/>
  <c r="M37" s="1"/>
  <c r="K36"/>
  <c r="J36"/>
  <c r="I36"/>
  <c r="H36"/>
  <c r="I37" s="1"/>
  <c r="G36"/>
  <c r="F36"/>
  <c r="G37" s="1"/>
  <c r="E36"/>
  <c r="D36"/>
  <c r="E37" s="1"/>
  <c r="Y35"/>
  <c r="X35"/>
  <c r="Y34"/>
  <c r="X34"/>
  <c r="Y33"/>
  <c r="X33"/>
  <c r="Y32"/>
  <c r="X32"/>
  <c r="Y31"/>
  <c r="X31"/>
  <c r="Y30"/>
  <c r="X30"/>
  <c r="Y29"/>
  <c r="X29"/>
  <c r="Y28"/>
  <c r="X28"/>
  <c r="Y27"/>
  <c r="X27"/>
  <c r="Y26"/>
  <c r="X26"/>
  <c r="Y25"/>
  <c r="X25"/>
  <c r="Y24"/>
  <c r="Y36" s="1"/>
  <c r="X24"/>
  <c r="X36" s="1"/>
  <c r="Y37" s="1"/>
  <c r="W20"/>
  <c r="U20"/>
  <c r="O20"/>
  <c r="M20"/>
  <c r="G20"/>
  <c r="E20"/>
  <c r="Y19"/>
  <c r="X19"/>
  <c r="Y20" s="1"/>
  <c r="W19"/>
  <c r="V19"/>
  <c r="U19"/>
  <c r="T19"/>
  <c r="S19"/>
  <c r="R19"/>
  <c r="S20" s="1"/>
  <c r="Q19"/>
  <c r="P19"/>
  <c r="Q20" s="1"/>
  <c r="O19"/>
  <c r="N19"/>
  <c r="M19"/>
  <c r="L19"/>
  <c r="K19"/>
  <c r="J19"/>
  <c r="K20" s="1"/>
  <c r="I19"/>
  <c r="H19"/>
  <c r="I20" s="1"/>
  <c r="G19"/>
  <c r="F19"/>
  <c r="E19"/>
  <c r="D19"/>
</calcChain>
</file>

<file path=xl/sharedStrings.xml><?xml version="1.0" encoding="utf-8"?>
<sst xmlns="http://schemas.openxmlformats.org/spreadsheetml/2006/main" count="344" uniqueCount="45">
  <si>
    <t xml:space="preserve">PARTY WISE CONTAINER LOADING/EARNING </t>
  </si>
  <si>
    <t>JULY- APRIL 2025-2026</t>
  </si>
  <si>
    <t>Month</t>
  </si>
  <si>
    <t>Year</t>
  </si>
  <si>
    <t>DP World
PORT QASIM</t>
  </si>
  <si>
    <t>MICT / PIL</t>
  </si>
  <si>
    <r>
      <t xml:space="preserve">Chishtian (FSLD)
</t>
    </r>
    <r>
      <rPr>
        <b/>
        <sz val="9"/>
        <rFont val="Arial"/>
        <family val="2"/>
      </rPr>
      <t>Agreement 2 Years
400 TEUs Per Month</t>
    </r>
    <r>
      <rPr>
        <b/>
        <sz val="10"/>
        <rFont val="Arial"/>
        <family val="2"/>
      </rPr>
      <t xml:space="preserve">
</t>
    </r>
  </si>
  <si>
    <t>Mughal Steel (QSS)
Agreement 3 Years
1000 TEUs Per Month</t>
  </si>
  <si>
    <t>Karachi Internatinal Gateway Terminal
(KICT)</t>
  </si>
  <si>
    <r>
      <t xml:space="preserve">PPCT (MGPR)
</t>
    </r>
    <r>
      <rPr>
        <b/>
        <sz val="8"/>
        <rFont val="Arial"/>
        <family val="2"/>
      </rPr>
      <t>MOU 6 Month
480 FEUs or 960 TEUs Per Month</t>
    </r>
  </si>
  <si>
    <t>LCI / ICI Pakistan (KWA)</t>
  </si>
  <si>
    <t>Mobility Services (MGPR</t>
  </si>
  <si>
    <t>Asim International (MGPR)</t>
  </si>
  <si>
    <t>Ittehad Transprot Company (ITC)</t>
  </si>
  <si>
    <t>KGTL
(JBA)</t>
  </si>
  <si>
    <t>TEUs</t>
  </si>
  <si>
    <t>Freight</t>
  </si>
  <si>
    <t>JULY</t>
  </si>
  <si>
    <t>2025</t>
  </si>
  <si>
    <t>-</t>
  </si>
  <si>
    <t>AUG</t>
  </si>
  <si>
    <t>SEP</t>
  </si>
  <si>
    <t>OCT</t>
  </si>
  <si>
    <t>NOV</t>
  </si>
  <si>
    <t>DEC</t>
  </si>
  <si>
    <t>JAN</t>
  </si>
  <si>
    <t>2026</t>
  </si>
  <si>
    <t>FEB</t>
  </si>
  <si>
    <t>MAR</t>
  </si>
  <si>
    <t>APR</t>
  </si>
  <si>
    <t>MAY</t>
  </si>
  <si>
    <t>JUN</t>
  </si>
  <si>
    <t>TOTAL</t>
  </si>
  <si>
    <t>Average Rate Per TEUs</t>
  </si>
  <si>
    <t>International Logistis Soluation (ISL)</t>
  </si>
  <si>
    <t>Skyline International
(MFPR)</t>
  </si>
  <si>
    <t>Port Link
MGPR</t>
  </si>
  <si>
    <t>M.K Trade &amp; Logistics (KRK)</t>
  </si>
  <si>
    <t>International Ports Logistics (IPL) GITA</t>
  </si>
  <si>
    <t>Waraich &amp; Sons 
JBA</t>
  </si>
  <si>
    <t>Azaan &amp; Co.
Azakhel</t>
  </si>
  <si>
    <t>International Ports Logistics (IPL) SAPT</t>
  </si>
  <si>
    <t>Fareed Logistics (KRK)</t>
  </si>
  <si>
    <t>NLC (JBA)</t>
  </si>
  <si>
    <t>Total</t>
  </si>
</sst>
</file>

<file path=xl/styles.xml><?xml version="1.0" encoding="utf-8"?>
<styleSheet xmlns="http://schemas.openxmlformats.org/spreadsheetml/2006/main">
  <numFmts count="1">
    <numFmt numFmtId="164" formatCode="0.000"/>
  </numFmts>
  <fonts count="6"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b/>
      <u/>
      <sz val="12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textRotation="21"/>
    </xf>
    <xf numFmtId="0" fontId="4" fillId="0" borderId="1" xfId="0" applyFont="1" applyBorder="1" applyAlignment="1">
      <alignment horizontal="center" vertical="center" textRotation="2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left" vertical="center" wrapText="1"/>
    </xf>
    <xf numFmtId="16" fontId="4" fillId="0" borderId="1" xfId="0" quotePrefix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6" fontId="3" fillId="0" borderId="1" xfId="0" applyNumberFormat="1" applyFont="1" applyFill="1" applyBorder="1" applyAlignment="1">
      <alignment horizontal="center" vertical="center" wrapText="1"/>
    </xf>
    <xf numFmtId="164" fontId="1" fillId="0" borderId="0" xfId="0" applyNumberFormat="1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AC38"/>
  <sheetViews>
    <sheetView showGridLines="0" tabSelected="1" workbookViewId="0">
      <selection activeCell="L12" sqref="L12"/>
    </sheetView>
  </sheetViews>
  <sheetFormatPr defaultRowHeight="12.75"/>
  <cols>
    <col min="1" max="1" width="3.140625" style="1" customWidth="1"/>
    <col min="2" max="16384" width="9.140625" style="1"/>
  </cols>
  <sheetData>
    <row r="2" spans="2:25" ht="15.75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2:25" ht="15.75"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2:25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2:25">
      <c r="B5" s="5" t="s">
        <v>2</v>
      </c>
      <c r="C5" s="6" t="s">
        <v>3</v>
      </c>
      <c r="D5" s="7" t="s">
        <v>4</v>
      </c>
      <c r="E5" s="7"/>
      <c r="F5" s="7" t="s">
        <v>5</v>
      </c>
      <c r="G5" s="7"/>
      <c r="H5" s="7" t="s">
        <v>6</v>
      </c>
      <c r="I5" s="7"/>
      <c r="J5" s="8" t="s">
        <v>7</v>
      </c>
      <c r="K5" s="8"/>
      <c r="L5" s="7" t="s">
        <v>8</v>
      </c>
      <c r="M5" s="7"/>
      <c r="N5" s="7" t="s">
        <v>9</v>
      </c>
      <c r="O5" s="7"/>
      <c r="P5" s="7" t="s">
        <v>10</v>
      </c>
      <c r="Q5" s="7"/>
      <c r="R5" s="7" t="s">
        <v>11</v>
      </c>
      <c r="S5" s="7"/>
      <c r="T5" s="7" t="s">
        <v>12</v>
      </c>
      <c r="U5" s="7"/>
      <c r="V5" s="7" t="s">
        <v>13</v>
      </c>
      <c r="W5" s="7"/>
      <c r="X5" s="7" t="s">
        <v>14</v>
      </c>
      <c r="Y5" s="7"/>
    </row>
    <row r="6" spans="2:25">
      <c r="B6" s="5"/>
      <c r="C6" s="6"/>
      <c r="D6" s="9" t="s">
        <v>15</v>
      </c>
      <c r="E6" s="9" t="s">
        <v>16</v>
      </c>
      <c r="F6" s="9" t="s">
        <v>15</v>
      </c>
      <c r="G6" s="9" t="s">
        <v>16</v>
      </c>
      <c r="H6" s="9" t="s">
        <v>15</v>
      </c>
      <c r="I6" s="9" t="s">
        <v>16</v>
      </c>
      <c r="J6" s="9" t="s">
        <v>15</v>
      </c>
      <c r="K6" s="9" t="s">
        <v>16</v>
      </c>
      <c r="L6" s="9" t="s">
        <v>15</v>
      </c>
      <c r="M6" s="9" t="s">
        <v>16</v>
      </c>
      <c r="N6" s="9" t="s">
        <v>15</v>
      </c>
      <c r="O6" s="9" t="s">
        <v>16</v>
      </c>
      <c r="P6" s="9" t="s">
        <v>15</v>
      </c>
      <c r="Q6" s="9" t="s">
        <v>16</v>
      </c>
      <c r="R6" s="9" t="s">
        <v>15</v>
      </c>
      <c r="S6" s="9" t="s">
        <v>16</v>
      </c>
      <c r="T6" s="9" t="s">
        <v>15</v>
      </c>
      <c r="U6" s="9" t="s">
        <v>16</v>
      </c>
      <c r="V6" s="9" t="s">
        <v>15</v>
      </c>
      <c r="W6" s="9" t="s">
        <v>16</v>
      </c>
      <c r="X6" s="9" t="s">
        <v>15</v>
      </c>
      <c r="Y6" s="9" t="s">
        <v>16</v>
      </c>
    </row>
    <row r="7" spans="2:25">
      <c r="B7" s="10" t="s">
        <v>17</v>
      </c>
      <c r="C7" s="11" t="s">
        <v>18</v>
      </c>
      <c r="D7" s="12">
        <v>1684</v>
      </c>
      <c r="E7" s="13">
        <v>217.65799999999999</v>
      </c>
      <c r="F7" s="14">
        <v>278</v>
      </c>
      <c r="G7" s="13">
        <v>19.207000000000001</v>
      </c>
      <c r="H7" s="14">
        <v>224</v>
      </c>
      <c r="I7" s="13">
        <v>29.712</v>
      </c>
      <c r="J7" s="14">
        <v>1035</v>
      </c>
      <c r="K7" s="13">
        <v>141.95099999999999</v>
      </c>
      <c r="L7" s="14">
        <v>44</v>
      </c>
      <c r="M7" s="13">
        <v>5.7720000000000002</v>
      </c>
      <c r="N7" s="14">
        <v>260</v>
      </c>
      <c r="O7" s="13">
        <v>29.161999999999999</v>
      </c>
      <c r="P7" s="15" t="s">
        <v>19</v>
      </c>
      <c r="Q7" s="13" t="s">
        <v>19</v>
      </c>
      <c r="R7" s="14">
        <v>133</v>
      </c>
      <c r="S7" s="13">
        <v>16.739000000000001</v>
      </c>
      <c r="T7" s="14">
        <v>33</v>
      </c>
      <c r="U7" s="13">
        <v>4.5350000000000001</v>
      </c>
      <c r="V7" s="14" t="s">
        <v>19</v>
      </c>
      <c r="W7" s="13" t="s">
        <v>19</v>
      </c>
      <c r="X7" s="14">
        <v>16</v>
      </c>
      <c r="Y7" s="13">
        <v>2.0659999999999998</v>
      </c>
    </row>
    <row r="8" spans="2:25">
      <c r="B8" s="10" t="s">
        <v>20</v>
      </c>
      <c r="C8" s="11" t="s">
        <v>18</v>
      </c>
      <c r="D8" s="12">
        <v>1822</v>
      </c>
      <c r="E8" s="13">
        <v>245.49700000000001</v>
      </c>
      <c r="F8" s="14">
        <v>204</v>
      </c>
      <c r="G8" s="13">
        <v>12.212999999999999</v>
      </c>
      <c r="H8" s="14">
        <v>212</v>
      </c>
      <c r="I8" s="13">
        <v>28.271000000000001</v>
      </c>
      <c r="J8" s="14">
        <v>971</v>
      </c>
      <c r="K8" s="13">
        <v>129.96899999999999</v>
      </c>
      <c r="L8" s="14">
        <v>48</v>
      </c>
      <c r="M8" s="13">
        <v>6.8220000000000001</v>
      </c>
      <c r="N8" s="14">
        <v>352</v>
      </c>
      <c r="O8" s="13">
        <v>41.831000000000003</v>
      </c>
      <c r="P8" s="14" t="s">
        <v>19</v>
      </c>
      <c r="Q8" s="13" t="s">
        <v>19</v>
      </c>
      <c r="R8" s="14">
        <v>110</v>
      </c>
      <c r="S8" s="13">
        <v>14.318</v>
      </c>
      <c r="T8" s="14">
        <v>82</v>
      </c>
      <c r="U8" s="13">
        <v>9.9909999999999997</v>
      </c>
      <c r="V8" s="14" t="s">
        <v>19</v>
      </c>
      <c r="W8" s="13" t="s">
        <v>19</v>
      </c>
      <c r="X8" s="14" t="s">
        <v>19</v>
      </c>
      <c r="Y8" s="13" t="s">
        <v>19</v>
      </c>
    </row>
    <row r="9" spans="2:25">
      <c r="B9" s="10" t="s">
        <v>21</v>
      </c>
      <c r="C9" s="11" t="s">
        <v>18</v>
      </c>
      <c r="D9" s="12">
        <v>1874</v>
      </c>
      <c r="E9" s="13">
        <v>245.47900000000001</v>
      </c>
      <c r="F9" s="14">
        <v>242</v>
      </c>
      <c r="G9" s="13">
        <v>16.881</v>
      </c>
      <c r="H9" s="14">
        <v>94</v>
      </c>
      <c r="I9" s="13">
        <v>12.605</v>
      </c>
      <c r="J9" s="14">
        <v>799</v>
      </c>
      <c r="K9" s="13">
        <v>106.31399999999999</v>
      </c>
      <c r="L9" s="14" t="s">
        <v>19</v>
      </c>
      <c r="M9" s="13" t="s">
        <v>19</v>
      </c>
      <c r="N9" s="14">
        <v>281</v>
      </c>
      <c r="O9" s="13">
        <v>33.634</v>
      </c>
      <c r="P9" s="14" t="s">
        <v>19</v>
      </c>
      <c r="Q9" s="13" t="s">
        <v>19</v>
      </c>
      <c r="R9" s="14">
        <v>83</v>
      </c>
      <c r="S9" s="13">
        <v>10.675000000000001</v>
      </c>
      <c r="T9" s="14">
        <v>110</v>
      </c>
      <c r="U9" s="13">
        <v>13.689</v>
      </c>
      <c r="V9" s="14" t="s">
        <v>19</v>
      </c>
      <c r="W9" s="13" t="s">
        <v>19</v>
      </c>
      <c r="X9" s="14" t="s">
        <v>19</v>
      </c>
      <c r="Y9" s="13" t="s">
        <v>19</v>
      </c>
    </row>
    <row r="10" spans="2:25">
      <c r="B10" s="10" t="s">
        <v>22</v>
      </c>
      <c r="C10" s="11" t="s">
        <v>18</v>
      </c>
      <c r="D10" s="12">
        <v>2254</v>
      </c>
      <c r="E10" s="13">
        <v>303.35199999999998</v>
      </c>
      <c r="F10" s="14">
        <v>247</v>
      </c>
      <c r="G10" s="13">
        <v>14.757999999999999</v>
      </c>
      <c r="H10" s="14">
        <v>94</v>
      </c>
      <c r="I10" s="13">
        <v>12.605</v>
      </c>
      <c r="J10" s="14">
        <v>737</v>
      </c>
      <c r="K10" s="13">
        <v>95.573999999999998</v>
      </c>
      <c r="L10" s="14" t="s">
        <v>19</v>
      </c>
      <c r="M10" s="13" t="s">
        <v>19</v>
      </c>
      <c r="N10" s="14">
        <v>326</v>
      </c>
      <c r="O10" s="13">
        <v>41.975999999999999</v>
      </c>
      <c r="P10" s="14">
        <v>26</v>
      </c>
      <c r="Q10" s="13">
        <v>2.9409999999999998</v>
      </c>
      <c r="R10" s="14">
        <v>85</v>
      </c>
      <c r="S10" s="13">
        <v>11.339</v>
      </c>
      <c r="T10" s="14">
        <v>129</v>
      </c>
      <c r="U10" s="13">
        <v>16.227</v>
      </c>
      <c r="V10" s="13" t="s">
        <v>19</v>
      </c>
      <c r="W10" s="13" t="s">
        <v>19</v>
      </c>
      <c r="X10" s="14" t="s">
        <v>19</v>
      </c>
      <c r="Y10" s="13" t="s">
        <v>19</v>
      </c>
    </row>
    <row r="11" spans="2:25">
      <c r="B11" s="10" t="s">
        <v>23</v>
      </c>
      <c r="C11" s="11" t="s">
        <v>18</v>
      </c>
      <c r="D11" s="12">
        <v>1915</v>
      </c>
      <c r="E11" s="13">
        <v>291.77600000000001</v>
      </c>
      <c r="F11" s="14">
        <v>287</v>
      </c>
      <c r="G11" s="13">
        <v>21.931000000000001</v>
      </c>
      <c r="H11" s="14">
        <v>112</v>
      </c>
      <c r="I11" s="13">
        <v>16.300999999999998</v>
      </c>
      <c r="J11" s="14">
        <v>830</v>
      </c>
      <c r="K11" s="13">
        <v>119.461</v>
      </c>
      <c r="L11" s="14" t="s">
        <v>19</v>
      </c>
      <c r="M11" s="13" t="s">
        <v>19</v>
      </c>
      <c r="N11" s="14">
        <v>231</v>
      </c>
      <c r="O11" s="13">
        <v>30.876000000000001</v>
      </c>
      <c r="P11" s="14">
        <v>68</v>
      </c>
      <c r="Q11" s="13">
        <v>8.4239999999999995</v>
      </c>
      <c r="R11" s="14">
        <v>126</v>
      </c>
      <c r="S11" s="13">
        <v>17.209</v>
      </c>
      <c r="T11" s="14">
        <v>146</v>
      </c>
      <c r="U11" s="13">
        <v>19.984000000000002</v>
      </c>
      <c r="V11" s="13" t="s">
        <v>19</v>
      </c>
      <c r="W11" s="13" t="s">
        <v>19</v>
      </c>
      <c r="X11" s="14" t="s">
        <v>19</v>
      </c>
      <c r="Y11" s="13" t="s">
        <v>19</v>
      </c>
    </row>
    <row r="12" spans="2:25">
      <c r="B12" s="10" t="s">
        <v>24</v>
      </c>
      <c r="C12" s="11" t="s">
        <v>18</v>
      </c>
      <c r="D12" s="12">
        <v>1610</v>
      </c>
      <c r="E12" s="13">
        <v>236.214</v>
      </c>
      <c r="F12" s="14">
        <v>423</v>
      </c>
      <c r="G12" s="13">
        <v>32.353000000000002</v>
      </c>
      <c r="H12" s="14">
        <v>160</v>
      </c>
      <c r="I12" s="13">
        <v>23.282</v>
      </c>
      <c r="J12" s="14">
        <v>793</v>
      </c>
      <c r="K12" s="13">
        <v>114.488</v>
      </c>
      <c r="L12" s="14" t="s">
        <v>19</v>
      </c>
      <c r="M12" s="13" t="s">
        <v>19</v>
      </c>
      <c r="N12" s="14">
        <v>278</v>
      </c>
      <c r="O12" s="13">
        <v>34.070999999999998</v>
      </c>
      <c r="P12" s="14">
        <v>31</v>
      </c>
      <c r="Q12" s="13">
        <v>4.21</v>
      </c>
      <c r="R12" s="14">
        <v>153</v>
      </c>
      <c r="S12" s="13">
        <v>20.193999999999999</v>
      </c>
      <c r="T12" s="14">
        <v>126</v>
      </c>
      <c r="U12" s="13">
        <v>17.667999999999999</v>
      </c>
      <c r="V12" s="13" t="s">
        <v>19</v>
      </c>
      <c r="W12" s="13" t="s">
        <v>19</v>
      </c>
      <c r="X12" s="14" t="s">
        <v>19</v>
      </c>
      <c r="Y12" s="13" t="s">
        <v>19</v>
      </c>
    </row>
    <row r="13" spans="2:25">
      <c r="B13" s="10" t="s">
        <v>25</v>
      </c>
      <c r="C13" s="11" t="s">
        <v>26</v>
      </c>
      <c r="D13" s="12">
        <v>1930</v>
      </c>
      <c r="E13" s="13">
        <v>277.80500000000001</v>
      </c>
      <c r="F13" s="14">
        <v>430</v>
      </c>
      <c r="G13" s="13">
        <v>26.893000000000001</v>
      </c>
      <c r="H13" s="14">
        <v>181</v>
      </c>
      <c r="I13" s="13">
        <v>25.853000000000002</v>
      </c>
      <c r="J13" s="14">
        <v>732</v>
      </c>
      <c r="K13" s="13">
        <v>108.617</v>
      </c>
      <c r="L13" s="14" t="s">
        <v>19</v>
      </c>
      <c r="M13" s="13" t="s">
        <v>19</v>
      </c>
      <c r="N13" s="14">
        <v>223</v>
      </c>
      <c r="O13" s="13">
        <v>28.09</v>
      </c>
      <c r="P13" s="14">
        <v>67</v>
      </c>
      <c r="Q13" s="13">
        <v>8.2989999999999995</v>
      </c>
      <c r="R13" s="14">
        <v>123</v>
      </c>
      <c r="S13" s="13">
        <v>16.631</v>
      </c>
      <c r="T13" s="14">
        <v>129</v>
      </c>
      <c r="U13" s="13">
        <v>18.018000000000001</v>
      </c>
      <c r="V13" s="14" t="s">
        <v>19</v>
      </c>
      <c r="W13" s="13" t="s">
        <v>19</v>
      </c>
      <c r="X13" s="14" t="s">
        <v>19</v>
      </c>
      <c r="Y13" s="13" t="s">
        <v>19</v>
      </c>
    </row>
    <row r="14" spans="2:25">
      <c r="B14" s="10" t="s">
        <v>27</v>
      </c>
      <c r="C14" s="11" t="s">
        <v>26</v>
      </c>
      <c r="D14" s="12">
        <v>1341</v>
      </c>
      <c r="E14" s="13">
        <v>192.286</v>
      </c>
      <c r="F14" s="14">
        <v>327</v>
      </c>
      <c r="G14" s="13">
        <v>17.934000000000001</v>
      </c>
      <c r="H14" s="14">
        <v>94</v>
      </c>
      <c r="I14" s="13">
        <v>13.605</v>
      </c>
      <c r="J14" s="14">
        <v>714</v>
      </c>
      <c r="K14" s="13">
        <v>103.961</v>
      </c>
      <c r="L14" s="14" t="s">
        <v>19</v>
      </c>
      <c r="M14" s="13" t="s">
        <v>19</v>
      </c>
      <c r="N14" s="14">
        <v>224</v>
      </c>
      <c r="O14" s="13">
        <v>29.289000000000001</v>
      </c>
      <c r="P14" s="15">
        <v>32</v>
      </c>
      <c r="Q14" s="13">
        <v>3.964</v>
      </c>
      <c r="R14" s="14">
        <v>142</v>
      </c>
      <c r="S14" s="13">
        <v>18.047999999999998</v>
      </c>
      <c r="T14" s="14">
        <v>84</v>
      </c>
      <c r="U14" s="13">
        <v>11.939</v>
      </c>
      <c r="V14" s="14" t="s">
        <v>19</v>
      </c>
      <c r="W14" s="13" t="s">
        <v>19</v>
      </c>
      <c r="X14" s="14" t="s">
        <v>19</v>
      </c>
      <c r="Y14" s="13" t="s">
        <v>19</v>
      </c>
    </row>
    <row r="15" spans="2:25">
      <c r="B15" s="10" t="s">
        <v>28</v>
      </c>
      <c r="C15" s="11" t="s">
        <v>26</v>
      </c>
      <c r="D15" s="12">
        <v>1132</v>
      </c>
      <c r="E15" s="13">
        <v>186.79599999999999</v>
      </c>
      <c r="F15" s="14">
        <v>289</v>
      </c>
      <c r="G15" s="13">
        <v>21.094999999999999</v>
      </c>
      <c r="H15" s="14">
        <v>40</v>
      </c>
      <c r="I15" s="13">
        <v>5.82</v>
      </c>
      <c r="J15" s="14">
        <v>777</v>
      </c>
      <c r="K15" s="13">
        <v>129.64500000000001</v>
      </c>
      <c r="L15" s="14" t="s">
        <v>19</v>
      </c>
      <c r="M15" s="13" t="s">
        <v>19</v>
      </c>
      <c r="N15" s="14">
        <v>146</v>
      </c>
      <c r="O15" s="13">
        <v>20.635999999999999</v>
      </c>
      <c r="P15" s="14" t="s">
        <v>19</v>
      </c>
      <c r="Q15" s="13" t="s">
        <v>19</v>
      </c>
      <c r="R15" s="14">
        <v>53</v>
      </c>
      <c r="S15" s="13">
        <v>7.6210000000000004</v>
      </c>
      <c r="T15" s="14">
        <v>62</v>
      </c>
      <c r="U15" s="13">
        <v>10.026999999999999</v>
      </c>
      <c r="V15" s="14" t="s">
        <v>19</v>
      </c>
      <c r="W15" s="13" t="s">
        <v>19</v>
      </c>
      <c r="X15" s="14" t="s">
        <v>19</v>
      </c>
      <c r="Y15" s="13" t="s">
        <v>19</v>
      </c>
    </row>
    <row r="16" spans="2:25">
      <c r="B16" s="10" t="s">
        <v>29</v>
      </c>
      <c r="C16" s="11" t="s">
        <v>26</v>
      </c>
      <c r="D16" s="12">
        <v>925</v>
      </c>
      <c r="E16" s="13">
        <v>162.18199999999999</v>
      </c>
      <c r="F16" s="14">
        <v>251</v>
      </c>
      <c r="G16" s="13">
        <v>24.116</v>
      </c>
      <c r="H16" s="14">
        <v>152</v>
      </c>
      <c r="I16" s="13">
        <v>26.236000000000001</v>
      </c>
      <c r="J16" s="14">
        <v>250</v>
      </c>
      <c r="K16" s="13">
        <v>44.323999999999998</v>
      </c>
      <c r="L16" s="14" t="s">
        <v>19</v>
      </c>
      <c r="M16" s="13" t="s">
        <v>19</v>
      </c>
      <c r="N16" s="14">
        <v>121</v>
      </c>
      <c r="O16" s="13">
        <v>18.835999999999999</v>
      </c>
      <c r="P16" s="14" t="s">
        <v>19</v>
      </c>
      <c r="Q16" s="13" t="s">
        <v>19</v>
      </c>
      <c r="R16" s="14" t="s">
        <v>19</v>
      </c>
      <c r="S16" s="13" t="s">
        <v>19</v>
      </c>
      <c r="T16" s="14">
        <v>37</v>
      </c>
      <c r="U16" s="13">
        <v>6.2859999999999996</v>
      </c>
      <c r="V16" s="13" t="s">
        <v>19</v>
      </c>
      <c r="W16" s="13" t="s">
        <v>19</v>
      </c>
      <c r="X16" s="14">
        <v>70</v>
      </c>
      <c r="Y16" s="13">
        <v>25.378</v>
      </c>
    </row>
    <row r="17" spans="2:29">
      <c r="B17" s="10" t="s">
        <v>30</v>
      </c>
      <c r="C17" s="11" t="s">
        <v>26</v>
      </c>
      <c r="D17" s="12"/>
      <c r="E17" s="13"/>
      <c r="F17" s="14"/>
      <c r="G17" s="13"/>
      <c r="H17" s="14"/>
      <c r="I17" s="13"/>
      <c r="J17" s="14"/>
      <c r="K17" s="13"/>
      <c r="L17" s="14"/>
      <c r="M17" s="13"/>
      <c r="N17" s="14"/>
      <c r="O17" s="13"/>
      <c r="P17" s="14"/>
      <c r="Q17" s="13"/>
      <c r="R17" s="14"/>
      <c r="S17" s="13"/>
      <c r="T17" s="14"/>
      <c r="U17" s="13"/>
      <c r="V17" s="14"/>
      <c r="W17" s="13"/>
      <c r="X17" s="14"/>
      <c r="Y17" s="13"/>
    </row>
    <row r="18" spans="2:29">
      <c r="B18" s="10" t="s">
        <v>31</v>
      </c>
      <c r="C18" s="11" t="s">
        <v>26</v>
      </c>
      <c r="D18" s="12"/>
      <c r="E18" s="13"/>
      <c r="F18" s="14"/>
      <c r="G18" s="13"/>
      <c r="H18" s="14"/>
      <c r="I18" s="13"/>
      <c r="J18" s="14"/>
      <c r="K18" s="13"/>
      <c r="L18" s="14"/>
      <c r="M18" s="13"/>
      <c r="N18" s="14"/>
      <c r="O18" s="13"/>
      <c r="P18" s="14"/>
      <c r="Q18" s="13"/>
      <c r="R18" s="14"/>
      <c r="S18" s="13"/>
      <c r="T18" s="14"/>
      <c r="U18" s="13"/>
      <c r="V18" s="14"/>
      <c r="W18" s="13"/>
      <c r="X18" s="14"/>
      <c r="Y18" s="13"/>
    </row>
    <row r="19" spans="2:29">
      <c r="B19" s="16" t="s">
        <v>32</v>
      </c>
      <c r="C19" s="16"/>
      <c r="D19" s="9">
        <f>SUM(D7:D18)</f>
        <v>16487</v>
      </c>
      <c r="E19" s="17">
        <f>SUM(E7:E18)</f>
        <v>2359.0449999999996</v>
      </c>
      <c r="F19" s="18">
        <f>SUM(F7:F18)</f>
        <v>2978</v>
      </c>
      <c r="G19" s="17">
        <f>SUM(G7:G18)</f>
        <v>207.38099999999997</v>
      </c>
      <c r="H19" s="18">
        <f>SUM(H7:H18)</f>
        <v>1363</v>
      </c>
      <c r="I19" s="17">
        <f t="shared" ref="I19:Y19" si="0">SUM(I7:I18)</f>
        <v>194.29</v>
      </c>
      <c r="J19" s="9">
        <f t="shared" si="0"/>
        <v>7638</v>
      </c>
      <c r="K19" s="17">
        <f t="shared" si="0"/>
        <v>1094.3039999999999</v>
      </c>
      <c r="L19" s="9">
        <f t="shared" si="0"/>
        <v>92</v>
      </c>
      <c r="M19" s="9">
        <f t="shared" si="0"/>
        <v>12.594000000000001</v>
      </c>
      <c r="N19" s="9">
        <f t="shared" si="0"/>
        <v>2442</v>
      </c>
      <c r="O19" s="17">
        <f t="shared" si="0"/>
        <v>308.40100000000007</v>
      </c>
      <c r="P19" s="9">
        <f t="shared" si="0"/>
        <v>224</v>
      </c>
      <c r="Q19" s="17">
        <f t="shared" si="0"/>
        <v>27.837999999999997</v>
      </c>
      <c r="R19" s="9">
        <f t="shared" si="0"/>
        <v>1008</v>
      </c>
      <c r="S19" s="17">
        <f t="shared" si="0"/>
        <v>132.774</v>
      </c>
      <c r="T19" s="9">
        <f>SUM(T7:T18)</f>
        <v>938</v>
      </c>
      <c r="U19" s="17">
        <f>SUM(U7:U18)</f>
        <v>128.36399999999998</v>
      </c>
      <c r="V19" s="9">
        <f t="shared" si="0"/>
        <v>0</v>
      </c>
      <c r="W19" s="9">
        <f t="shared" si="0"/>
        <v>0</v>
      </c>
      <c r="X19" s="9">
        <f t="shared" si="0"/>
        <v>86</v>
      </c>
      <c r="Y19" s="17">
        <f t="shared" si="0"/>
        <v>27.443999999999999</v>
      </c>
    </row>
    <row r="20" spans="2:29">
      <c r="B20" s="19" t="s">
        <v>33</v>
      </c>
      <c r="C20" s="19"/>
      <c r="D20" s="9" t="s">
        <v>19</v>
      </c>
      <c r="E20" s="18">
        <f>2359045000/D19</f>
        <v>143085.15800327531</v>
      </c>
      <c r="F20" s="9" t="s">
        <v>19</v>
      </c>
      <c r="G20" s="18">
        <f>207381000/F19</f>
        <v>69637.676292813965</v>
      </c>
      <c r="H20" s="9" t="s">
        <v>19</v>
      </c>
      <c r="I20" s="18">
        <f>194290000/H19</f>
        <v>142545.85473220836</v>
      </c>
      <c r="J20" s="9" t="s">
        <v>19</v>
      </c>
      <c r="K20" s="18">
        <f>1094034000/J19</f>
        <v>143235.66378633151</v>
      </c>
      <c r="L20" s="9" t="s">
        <v>19</v>
      </c>
      <c r="M20" s="18">
        <f>12594000/L19</f>
        <v>136891.30434782608</v>
      </c>
      <c r="N20" s="9" t="s">
        <v>19</v>
      </c>
      <c r="O20" s="18">
        <f>308401000/N19</f>
        <v>126290.3357903358</v>
      </c>
      <c r="P20" s="9" t="s">
        <v>19</v>
      </c>
      <c r="Q20" s="18">
        <f>27838000/P19</f>
        <v>124276.78571428571</v>
      </c>
      <c r="R20" s="9" t="s">
        <v>19</v>
      </c>
      <c r="S20" s="18">
        <f>132774000/R19</f>
        <v>131720.23809523811</v>
      </c>
      <c r="T20" s="9" t="s">
        <v>19</v>
      </c>
      <c r="U20" s="18">
        <f>128364000/T19</f>
        <v>136848.61407249467</v>
      </c>
      <c r="V20" s="18" t="s">
        <v>19</v>
      </c>
      <c r="W20" s="18" t="e">
        <f>4287000/V19</f>
        <v>#DIV/0!</v>
      </c>
      <c r="X20" s="9" t="s">
        <v>19</v>
      </c>
      <c r="Y20" s="18">
        <f>27444000/X19</f>
        <v>319116.27906976745</v>
      </c>
    </row>
    <row r="22" spans="2:29">
      <c r="B22" s="5" t="s">
        <v>2</v>
      </c>
      <c r="C22" s="6" t="s">
        <v>3</v>
      </c>
      <c r="D22" s="7" t="s">
        <v>34</v>
      </c>
      <c r="E22" s="7"/>
      <c r="F22" s="7" t="s">
        <v>35</v>
      </c>
      <c r="G22" s="7"/>
      <c r="H22" s="7" t="s">
        <v>36</v>
      </c>
      <c r="I22" s="7"/>
      <c r="J22" s="7" t="s">
        <v>37</v>
      </c>
      <c r="K22" s="7"/>
      <c r="L22" s="7" t="s">
        <v>38</v>
      </c>
      <c r="M22" s="7"/>
      <c r="N22" s="7" t="s">
        <v>39</v>
      </c>
      <c r="O22" s="7"/>
      <c r="P22" s="7" t="s">
        <v>40</v>
      </c>
      <c r="Q22" s="7"/>
      <c r="R22" s="7" t="s">
        <v>41</v>
      </c>
      <c r="S22" s="7"/>
      <c r="T22" s="7" t="s">
        <v>42</v>
      </c>
      <c r="U22" s="7"/>
      <c r="V22" s="7" t="s">
        <v>43</v>
      </c>
      <c r="W22" s="7"/>
      <c r="X22" s="7" t="s">
        <v>44</v>
      </c>
      <c r="Y22" s="7"/>
    </row>
    <row r="23" spans="2:29">
      <c r="B23" s="5"/>
      <c r="C23" s="6"/>
      <c r="D23" s="9" t="s">
        <v>15</v>
      </c>
      <c r="E23" s="9" t="s">
        <v>16</v>
      </c>
      <c r="F23" s="9" t="s">
        <v>15</v>
      </c>
      <c r="G23" s="9" t="s">
        <v>16</v>
      </c>
      <c r="H23" s="9" t="s">
        <v>15</v>
      </c>
      <c r="I23" s="9" t="s">
        <v>16</v>
      </c>
      <c r="J23" s="9" t="s">
        <v>15</v>
      </c>
      <c r="K23" s="9" t="s">
        <v>16</v>
      </c>
      <c r="L23" s="9" t="s">
        <v>15</v>
      </c>
      <c r="M23" s="9" t="s">
        <v>16</v>
      </c>
      <c r="N23" s="9" t="s">
        <v>15</v>
      </c>
      <c r="O23" s="9" t="s">
        <v>16</v>
      </c>
      <c r="P23" s="9" t="s">
        <v>15</v>
      </c>
      <c r="Q23" s="9" t="s">
        <v>16</v>
      </c>
      <c r="R23" s="9" t="s">
        <v>15</v>
      </c>
      <c r="S23" s="9" t="s">
        <v>16</v>
      </c>
      <c r="T23" s="9" t="s">
        <v>15</v>
      </c>
      <c r="U23" s="9" t="s">
        <v>16</v>
      </c>
      <c r="V23" s="9" t="s">
        <v>15</v>
      </c>
      <c r="W23" s="9" t="s">
        <v>16</v>
      </c>
      <c r="X23" s="9" t="s">
        <v>15</v>
      </c>
      <c r="Y23" s="9" t="s">
        <v>16</v>
      </c>
    </row>
    <row r="24" spans="2:29">
      <c r="B24" s="10" t="s">
        <v>17</v>
      </c>
      <c r="C24" s="11" t="s">
        <v>18</v>
      </c>
      <c r="D24" s="14" t="s">
        <v>19</v>
      </c>
      <c r="E24" s="13" t="s">
        <v>19</v>
      </c>
      <c r="F24" s="14" t="s">
        <v>19</v>
      </c>
      <c r="G24" s="13" t="s">
        <v>19</v>
      </c>
      <c r="H24" s="14">
        <v>207</v>
      </c>
      <c r="I24" s="13">
        <v>25.986999999999998</v>
      </c>
      <c r="J24" s="14" t="s">
        <v>19</v>
      </c>
      <c r="K24" s="13" t="s">
        <v>19</v>
      </c>
      <c r="L24" s="14" t="s">
        <v>19</v>
      </c>
      <c r="M24" s="13" t="s">
        <v>19</v>
      </c>
      <c r="N24" s="14">
        <v>216</v>
      </c>
      <c r="O24" s="13">
        <v>28.757000000000001</v>
      </c>
      <c r="P24" s="14" t="s">
        <v>19</v>
      </c>
      <c r="Q24" s="13" t="s">
        <v>19</v>
      </c>
      <c r="R24" s="14" t="s">
        <v>19</v>
      </c>
      <c r="S24" s="13" t="s">
        <v>19</v>
      </c>
      <c r="T24" s="14">
        <v>87</v>
      </c>
      <c r="U24" s="13">
        <v>11.574</v>
      </c>
      <c r="V24" s="14">
        <v>134</v>
      </c>
      <c r="W24" s="13">
        <v>9.0039999999999996</v>
      </c>
      <c r="X24" s="18">
        <f t="shared" ref="X24:Y35" si="1">SUM(D7,F7,H7,J7,L7,N7,P7,R7,T7,V7,X7,D24,F24,H24,J24,L24,N24,P24,R24,T24,V24)</f>
        <v>4351</v>
      </c>
      <c r="Y24" s="17">
        <f t="shared" si="1"/>
        <v>542.12399999999991</v>
      </c>
    </row>
    <row r="25" spans="2:29">
      <c r="B25" s="10" t="s">
        <v>20</v>
      </c>
      <c r="C25" s="11" t="s">
        <v>18</v>
      </c>
      <c r="D25" s="14" t="s">
        <v>19</v>
      </c>
      <c r="E25" s="13" t="s">
        <v>19</v>
      </c>
      <c r="F25" s="14" t="s">
        <v>19</v>
      </c>
      <c r="G25" s="13" t="s">
        <v>19</v>
      </c>
      <c r="H25" s="14">
        <v>198</v>
      </c>
      <c r="I25" s="13">
        <v>24.609000000000002</v>
      </c>
      <c r="J25" s="14" t="s">
        <v>19</v>
      </c>
      <c r="K25" s="13" t="s">
        <v>19</v>
      </c>
      <c r="L25" s="14" t="s">
        <v>19</v>
      </c>
      <c r="M25" s="13" t="s">
        <v>19</v>
      </c>
      <c r="N25" s="14">
        <v>22</v>
      </c>
      <c r="O25" s="13">
        <v>3.0230000000000001</v>
      </c>
      <c r="P25" s="14" t="s">
        <v>19</v>
      </c>
      <c r="Q25" s="13" t="s">
        <v>19</v>
      </c>
      <c r="R25" s="14" t="s">
        <v>19</v>
      </c>
      <c r="S25" s="13" t="s">
        <v>19</v>
      </c>
      <c r="T25" s="14">
        <v>57</v>
      </c>
      <c r="U25" s="13">
        <v>6.8490000000000002</v>
      </c>
      <c r="V25" s="14">
        <v>252</v>
      </c>
      <c r="W25" s="13">
        <v>18.193000000000001</v>
      </c>
      <c r="X25" s="18">
        <f>SUM(D8,F8,H8,J8,L8,N8,P8,R8,T8,V8,X8,D25,F25,H25,J25,L25,N25,P25,R25,T25,V25)</f>
        <v>4330</v>
      </c>
      <c r="Y25" s="17">
        <f t="shared" si="1"/>
        <v>541.58600000000013</v>
      </c>
    </row>
    <row r="26" spans="2:29">
      <c r="B26" s="10" t="s">
        <v>21</v>
      </c>
      <c r="C26" s="11" t="s">
        <v>18</v>
      </c>
      <c r="D26" s="14" t="s">
        <v>19</v>
      </c>
      <c r="E26" s="13" t="s">
        <v>19</v>
      </c>
      <c r="F26" s="14" t="s">
        <v>19</v>
      </c>
      <c r="G26" s="13" t="s">
        <v>19</v>
      </c>
      <c r="H26" s="14">
        <v>321</v>
      </c>
      <c r="I26" s="13">
        <v>38.881</v>
      </c>
      <c r="J26" s="14" t="s">
        <v>19</v>
      </c>
      <c r="K26" s="13" t="s">
        <v>19</v>
      </c>
      <c r="L26" s="14" t="s">
        <v>19</v>
      </c>
      <c r="M26" s="13" t="s">
        <v>19</v>
      </c>
      <c r="N26" s="14" t="s">
        <v>19</v>
      </c>
      <c r="O26" s="13" t="s">
        <v>19</v>
      </c>
      <c r="P26" s="14" t="s">
        <v>19</v>
      </c>
      <c r="Q26" s="13" t="s">
        <v>19</v>
      </c>
      <c r="R26" s="14" t="s">
        <v>19</v>
      </c>
      <c r="S26" s="13" t="s">
        <v>19</v>
      </c>
      <c r="T26" s="14">
        <v>195</v>
      </c>
      <c r="U26" s="13">
        <v>24.19</v>
      </c>
      <c r="V26" s="14">
        <v>344</v>
      </c>
      <c r="W26" s="13">
        <v>25.927</v>
      </c>
      <c r="X26" s="18">
        <f t="shared" si="1"/>
        <v>4343</v>
      </c>
      <c r="Y26" s="17">
        <f t="shared" si="1"/>
        <v>528.27499999999998</v>
      </c>
    </row>
    <row r="27" spans="2:29">
      <c r="B27" s="10" t="s">
        <v>22</v>
      </c>
      <c r="C27" s="11" t="s">
        <v>18</v>
      </c>
      <c r="D27" s="14" t="s">
        <v>19</v>
      </c>
      <c r="E27" s="13" t="s">
        <v>19</v>
      </c>
      <c r="F27" s="14" t="s">
        <v>19</v>
      </c>
      <c r="G27" s="13" t="s">
        <v>19</v>
      </c>
      <c r="H27" s="14">
        <v>300</v>
      </c>
      <c r="I27" s="13">
        <v>41.177</v>
      </c>
      <c r="J27" s="14" t="s">
        <v>19</v>
      </c>
      <c r="K27" s="13" t="s">
        <v>19</v>
      </c>
      <c r="L27" s="14" t="s">
        <v>19</v>
      </c>
      <c r="M27" s="13" t="s">
        <v>19</v>
      </c>
      <c r="N27" s="14" t="s">
        <v>19</v>
      </c>
      <c r="O27" s="13" t="s">
        <v>19</v>
      </c>
      <c r="P27" s="14" t="s">
        <v>19</v>
      </c>
      <c r="Q27" s="13" t="s">
        <v>19</v>
      </c>
      <c r="R27" s="14" t="s">
        <v>19</v>
      </c>
      <c r="S27" s="13" t="s">
        <v>19</v>
      </c>
      <c r="T27" s="14">
        <v>129</v>
      </c>
      <c r="U27" s="13">
        <v>16.759</v>
      </c>
      <c r="V27" s="14">
        <v>525</v>
      </c>
      <c r="W27" s="13">
        <v>38.402999999999999</v>
      </c>
      <c r="X27" s="18">
        <f t="shared" si="1"/>
        <v>4852</v>
      </c>
      <c r="Y27" s="17">
        <f>SUM(E10,G10,I10,K10,M10,O10,Q10,S10,U10,W10,Y10,E27,G27,I27,K27,M27,O27,Q27,S27,U27,W27)</f>
        <v>595.11099999999999</v>
      </c>
    </row>
    <row r="28" spans="2:29">
      <c r="B28" s="10" t="s">
        <v>23</v>
      </c>
      <c r="C28" s="11" t="s">
        <v>18</v>
      </c>
      <c r="D28" s="14" t="s">
        <v>19</v>
      </c>
      <c r="E28" s="13" t="s">
        <v>19</v>
      </c>
      <c r="F28" s="14">
        <v>86</v>
      </c>
      <c r="G28" s="13">
        <v>12.867000000000001</v>
      </c>
      <c r="H28" s="14">
        <v>305</v>
      </c>
      <c r="I28" s="13">
        <v>41.276000000000003</v>
      </c>
      <c r="J28" s="14" t="s">
        <v>19</v>
      </c>
      <c r="K28" s="13" t="s">
        <v>19</v>
      </c>
      <c r="L28" s="14" t="s">
        <v>19</v>
      </c>
      <c r="M28" s="13" t="s">
        <v>19</v>
      </c>
      <c r="N28" s="14" t="s">
        <v>19</v>
      </c>
      <c r="O28" s="13" t="s">
        <v>19</v>
      </c>
      <c r="P28" s="14" t="s">
        <v>19</v>
      </c>
      <c r="Q28" s="13" t="s">
        <v>19</v>
      </c>
      <c r="R28" s="14" t="s">
        <v>19</v>
      </c>
      <c r="S28" s="13" t="s">
        <v>19</v>
      </c>
      <c r="T28" s="14">
        <v>161</v>
      </c>
      <c r="U28" s="13">
        <v>21.073</v>
      </c>
      <c r="V28" s="14">
        <v>669</v>
      </c>
      <c r="W28" s="13">
        <v>56.225000000000001</v>
      </c>
      <c r="X28" s="18">
        <f t="shared" si="1"/>
        <v>4936</v>
      </c>
      <c r="Y28" s="17">
        <f>SUM(E11,G11,I11,K11,M11,O11,Q11,S11,U11,W11,Y11,E28,G28,I28,K28,M28,O28,Q28,S28,U28,W28)</f>
        <v>657.40299999999991</v>
      </c>
    </row>
    <row r="29" spans="2:29">
      <c r="B29" s="10" t="s">
        <v>24</v>
      </c>
      <c r="C29" s="11" t="s">
        <v>18</v>
      </c>
      <c r="D29" s="14" t="s">
        <v>19</v>
      </c>
      <c r="E29" s="13" t="s">
        <v>19</v>
      </c>
      <c r="F29" s="14" t="s">
        <v>19</v>
      </c>
      <c r="G29" s="13" t="s">
        <v>19</v>
      </c>
      <c r="H29" s="14">
        <v>318</v>
      </c>
      <c r="I29" s="13">
        <v>43.042999999999999</v>
      </c>
      <c r="J29" s="14" t="s">
        <v>19</v>
      </c>
      <c r="K29" s="13" t="s">
        <v>19</v>
      </c>
      <c r="L29" s="14" t="s">
        <v>19</v>
      </c>
      <c r="M29" s="13" t="s">
        <v>19</v>
      </c>
      <c r="N29" s="14" t="s">
        <v>19</v>
      </c>
      <c r="O29" s="13" t="s">
        <v>19</v>
      </c>
      <c r="P29" s="14" t="s">
        <v>19</v>
      </c>
      <c r="Q29" s="13" t="s">
        <v>19</v>
      </c>
      <c r="R29" s="14" t="s">
        <v>19</v>
      </c>
      <c r="S29" s="13" t="s">
        <v>19</v>
      </c>
      <c r="T29" s="14">
        <v>229</v>
      </c>
      <c r="U29" s="13">
        <v>30.068000000000001</v>
      </c>
      <c r="V29" s="14">
        <v>712</v>
      </c>
      <c r="W29" s="13">
        <v>59.543999999999997</v>
      </c>
      <c r="X29" s="18">
        <f t="shared" si="1"/>
        <v>4833</v>
      </c>
      <c r="Y29" s="17">
        <f t="shared" si="1"/>
        <v>615.13499999999999</v>
      </c>
      <c r="AB29" s="20"/>
    </row>
    <row r="30" spans="2:29">
      <c r="B30" s="10" t="s">
        <v>25</v>
      </c>
      <c r="C30" s="11" t="s">
        <v>26</v>
      </c>
      <c r="D30" s="14" t="s">
        <v>19</v>
      </c>
      <c r="E30" s="13" t="s">
        <v>19</v>
      </c>
      <c r="F30" s="14" t="s">
        <v>19</v>
      </c>
      <c r="G30" s="13" t="s">
        <v>19</v>
      </c>
      <c r="H30" s="14">
        <v>275</v>
      </c>
      <c r="I30" s="13">
        <v>36.765000000000001</v>
      </c>
      <c r="J30" s="14" t="s">
        <v>19</v>
      </c>
      <c r="K30" s="13" t="s">
        <v>19</v>
      </c>
      <c r="L30" s="14" t="s">
        <v>19</v>
      </c>
      <c r="M30" s="13" t="s">
        <v>19</v>
      </c>
      <c r="N30" s="14" t="s">
        <v>19</v>
      </c>
      <c r="O30" s="13" t="s">
        <v>19</v>
      </c>
      <c r="P30" s="14" t="s">
        <v>19</v>
      </c>
      <c r="Q30" s="13" t="s">
        <v>19</v>
      </c>
      <c r="R30" s="14" t="s">
        <v>19</v>
      </c>
      <c r="S30" s="13" t="s">
        <v>19</v>
      </c>
      <c r="T30" s="14">
        <v>227</v>
      </c>
      <c r="U30" s="13">
        <v>29.867999999999999</v>
      </c>
      <c r="V30" s="14">
        <v>648</v>
      </c>
      <c r="W30" s="13">
        <v>58.613999999999997</v>
      </c>
      <c r="X30" s="18">
        <f t="shared" si="1"/>
        <v>4965</v>
      </c>
      <c r="Y30" s="17">
        <f t="shared" si="1"/>
        <v>635.45300000000009</v>
      </c>
    </row>
    <row r="31" spans="2:29">
      <c r="B31" s="10" t="s">
        <v>27</v>
      </c>
      <c r="C31" s="11" t="s">
        <v>26</v>
      </c>
      <c r="D31" s="14" t="s">
        <v>19</v>
      </c>
      <c r="E31" s="13" t="s">
        <v>19</v>
      </c>
      <c r="F31" s="14" t="s">
        <v>19</v>
      </c>
      <c r="G31" s="13" t="s">
        <v>19</v>
      </c>
      <c r="H31" s="14">
        <v>271</v>
      </c>
      <c r="I31" s="13">
        <v>37.194000000000003</v>
      </c>
      <c r="J31" s="14" t="s">
        <v>19</v>
      </c>
      <c r="K31" s="13" t="s">
        <v>19</v>
      </c>
      <c r="L31" s="14" t="s">
        <v>19</v>
      </c>
      <c r="M31" s="13" t="s">
        <v>19</v>
      </c>
      <c r="N31" s="14" t="s">
        <v>19</v>
      </c>
      <c r="O31" s="13" t="s">
        <v>19</v>
      </c>
      <c r="P31" s="14" t="s">
        <v>19</v>
      </c>
      <c r="Q31" s="13" t="s">
        <v>19</v>
      </c>
      <c r="R31" s="14" t="s">
        <v>19</v>
      </c>
      <c r="S31" s="13" t="s">
        <v>19</v>
      </c>
      <c r="T31" s="14">
        <v>158</v>
      </c>
      <c r="U31" s="13">
        <v>22.451000000000001</v>
      </c>
      <c r="V31" s="14">
        <v>560</v>
      </c>
      <c r="W31" s="13">
        <v>56.405000000000001</v>
      </c>
      <c r="X31" s="18">
        <f t="shared" si="1"/>
        <v>3947</v>
      </c>
      <c r="Y31" s="17">
        <f t="shared" si="1"/>
        <v>507.07600000000002</v>
      </c>
    </row>
    <row r="32" spans="2:29">
      <c r="B32" s="10" t="s">
        <v>28</v>
      </c>
      <c r="C32" s="11" t="s">
        <v>26</v>
      </c>
      <c r="D32" s="14" t="s">
        <v>19</v>
      </c>
      <c r="E32" s="13" t="s">
        <v>19</v>
      </c>
      <c r="F32" s="14" t="s">
        <v>19</v>
      </c>
      <c r="G32" s="13" t="s">
        <v>19</v>
      </c>
      <c r="H32" s="14">
        <v>141</v>
      </c>
      <c r="I32" s="13">
        <v>21.818999999999999</v>
      </c>
      <c r="J32" s="14" t="s">
        <v>19</v>
      </c>
      <c r="K32" s="13" t="s">
        <v>19</v>
      </c>
      <c r="L32" s="14" t="s">
        <v>19</v>
      </c>
      <c r="M32" s="13" t="s">
        <v>19</v>
      </c>
      <c r="N32" s="14" t="s">
        <v>19</v>
      </c>
      <c r="O32" s="13" t="s">
        <v>19</v>
      </c>
      <c r="P32" s="14" t="s">
        <v>19</v>
      </c>
      <c r="Q32" s="13" t="s">
        <v>19</v>
      </c>
      <c r="R32" s="14" t="s">
        <v>19</v>
      </c>
      <c r="S32" s="13" t="s">
        <v>19</v>
      </c>
      <c r="T32" s="14">
        <v>76</v>
      </c>
      <c r="U32" s="13">
        <v>11.452</v>
      </c>
      <c r="V32" s="14">
        <v>345</v>
      </c>
      <c r="W32" s="13">
        <v>35.369</v>
      </c>
      <c r="X32" s="18">
        <f t="shared" si="1"/>
        <v>3061</v>
      </c>
      <c r="Y32" s="17">
        <f>SUM(E15,G15,I15,K15,M15,O15,Q15,S15,U15,W15,Y15,E32,G32,I32,K32,M32,O32,Q32,S32,U32,W32)</f>
        <v>450.28</v>
      </c>
      <c r="AC32" s="20"/>
    </row>
    <row r="33" spans="2:25">
      <c r="B33" s="10" t="s">
        <v>29</v>
      </c>
      <c r="C33" s="11" t="s">
        <v>26</v>
      </c>
      <c r="D33" s="14" t="s">
        <v>19</v>
      </c>
      <c r="E33" s="13" t="s">
        <v>19</v>
      </c>
      <c r="F33" s="14" t="s">
        <v>19</v>
      </c>
      <c r="G33" s="13" t="s">
        <v>19</v>
      </c>
      <c r="H33" s="14">
        <v>98</v>
      </c>
      <c r="I33" s="13">
        <v>16.914999999999999</v>
      </c>
      <c r="J33" s="14" t="s">
        <v>19</v>
      </c>
      <c r="K33" s="13" t="s">
        <v>19</v>
      </c>
      <c r="L33" s="14" t="s">
        <v>19</v>
      </c>
      <c r="M33" s="13" t="s">
        <v>19</v>
      </c>
      <c r="N33" s="14" t="s">
        <v>19</v>
      </c>
      <c r="O33" s="13" t="s">
        <v>19</v>
      </c>
      <c r="P33" s="14" t="s">
        <v>19</v>
      </c>
      <c r="Q33" s="13" t="s">
        <v>19</v>
      </c>
      <c r="R33" s="14" t="s">
        <v>19</v>
      </c>
      <c r="S33" s="13" t="s">
        <v>19</v>
      </c>
      <c r="T33" s="14">
        <v>68</v>
      </c>
      <c r="U33" s="13">
        <v>9.2780000000000005</v>
      </c>
      <c r="V33" s="14">
        <v>202</v>
      </c>
      <c r="W33" s="13">
        <v>17.523</v>
      </c>
      <c r="X33" s="18">
        <f t="shared" si="1"/>
        <v>2174</v>
      </c>
      <c r="Y33" s="17">
        <f t="shared" si="1"/>
        <v>351.07400000000007</v>
      </c>
    </row>
    <row r="34" spans="2:25">
      <c r="B34" s="10" t="s">
        <v>30</v>
      </c>
      <c r="C34" s="11" t="s">
        <v>26</v>
      </c>
      <c r="D34" s="14"/>
      <c r="E34" s="13"/>
      <c r="F34" s="14"/>
      <c r="G34" s="13"/>
      <c r="H34" s="14"/>
      <c r="I34" s="13"/>
      <c r="J34" s="14"/>
      <c r="K34" s="13"/>
      <c r="L34" s="14"/>
      <c r="M34" s="13"/>
      <c r="N34" s="14"/>
      <c r="O34" s="13"/>
      <c r="P34" s="14"/>
      <c r="Q34" s="13"/>
      <c r="R34" s="14"/>
      <c r="S34" s="13"/>
      <c r="T34" s="14"/>
      <c r="U34" s="13"/>
      <c r="V34" s="14"/>
      <c r="W34" s="13"/>
      <c r="X34" s="18">
        <f t="shared" si="1"/>
        <v>0</v>
      </c>
      <c r="Y34" s="17">
        <f t="shared" si="1"/>
        <v>0</v>
      </c>
    </row>
    <row r="35" spans="2:25">
      <c r="B35" s="10" t="s">
        <v>31</v>
      </c>
      <c r="C35" s="11" t="s">
        <v>26</v>
      </c>
      <c r="D35" s="14"/>
      <c r="E35" s="13"/>
      <c r="F35" s="14"/>
      <c r="G35" s="13"/>
      <c r="H35" s="14"/>
      <c r="I35" s="13"/>
      <c r="J35" s="14"/>
      <c r="K35" s="13"/>
      <c r="L35" s="14"/>
      <c r="M35" s="13"/>
      <c r="N35" s="14"/>
      <c r="O35" s="13"/>
      <c r="P35" s="14"/>
      <c r="Q35" s="13"/>
      <c r="R35" s="14"/>
      <c r="S35" s="13"/>
      <c r="T35" s="14"/>
      <c r="U35" s="13"/>
      <c r="V35" s="18"/>
      <c r="W35" s="17"/>
      <c r="X35" s="18">
        <f t="shared" si="1"/>
        <v>0</v>
      </c>
      <c r="Y35" s="17">
        <f t="shared" si="1"/>
        <v>0</v>
      </c>
    </row>
    <row r="36" spans="2:25">
      <c r="B36" s="16" t="s">
        <v>32</v>
      </c>
      <c r="C36" s="16"/>
      <c r="D36" s="9">
        <f>SUM(D24:D35)</f>
        <v>0</v>
      </c>
      <c r="E36" s="17">
        <f>SUM(E24:E35)</f>
        <v>0</v>
      </c>
      <c r="F36" s="9">
        <f t="shared" ref="F36:W36" si="2">SUM(F24:F35)</f>
        <v>86</v>
      </c>
      <c r="G36" s="17">
        <f t="shared" si="2"/>
        <v>12.867000000000001</v>
      </c>
      <c r="H36" s="18">
        <f>SUM(H24:H35)</f>
        <v>2434</v>
      </c>
      <c r="I36" s="17">
        <f>SUM(I24:I35)</f>
        <v>327.66600000000005</v>
      </c>
      <c r="J36" s="9">
        <f t="shared" si="2"/>
        <v>0</v>
      </c>
      <c r="K36" s="17">
        <f t="shared" si="2"/>
        <v>0</v>
      </c>
      <c r="L36" s="9">
        <f t="shared" si="2"/>
        <v>0</v>
      </c>
      <c r="M36" s="17">
        <f t="shared" si="2"/>
        <v>0</v>
      </c>
      <c r="N36" s="9">
        <f t="shared" si="2"/>
        <v>238</v>
      </c>
      <c r="O36" s="17">
        <f t="shared" si="2"/>
        <v>31.78</v>
      </c>
      <c r="P36" s="9">
        <f t="shared" si="2"/>
        <v>0</v>
      </c>
      <c r="Q36" s="17">
        <f t="shared" si="2"/>
        <v>0</v>
      </c>
      <c r="R36" s="9">
        <f t="shared" si="2"/>
        <v>0</v>
      </c>
      <c r="S36" s="17">
        <f t="shared" si="2"/>
        <v>0</v>
      </c>
      <c r="T36" s="9">
        <f t="shared" si="2"/>
        <v>1387</v>
      </c>
      <c r="U36" s="17">
        <f t="shared" si="2"/>
        <v>183.56199999999998</v>
      </c>
      <c r="V36" s="9">
        <f t="shared" si="2"/>
        <v>4391</v>
      </c>
      <c r="W36" s="17">
        <f t="shared" si="2"/>
        <v>375.20699999999999</v>
      </c>
      <c r="X36" s="18">
        <f>SUM(X24:X35)</f>
        <v>41792</v>
      </c>
      <c r="Y36" s="17">
        <f>SUM(Y24:Y35)</f>
        <v>5423.5169999999998</v>
      </c>
    </row>
    <row r="37" spans="2:25">
      <c r="B37" s="19" t="s">
        <v>33</v>
      </c>
      <c r="C37" s="19"/>
      <c r="D37" s="9" t="s">
        <v>19</v>
      </c>
      <c r="E37" s="18" t="e">
        <f>10762000/D36</f>
        <v>#DIV/0!</v>
      </c>
      <c r="F37" s="9" t="s">
        <v>19</v>
      </c>
      <c r="G37" s="18">
        <f>12867000/F36</f>
        <v>149616.27906976745</v>
      </c>
      <c r="H37" s="9" t="s">
        <v>19</v>
      </c>
      <c r="I37" s="18">
        <f>327666000/H36</f>
        <v>134620.37797863598</v>
      </c>
      <c r="J37" s="9" t="s">
        <v>19</v>
      </c>
      <c r="K37" s="18" t="e">
        <f>20423000/J36</f>
        <v>#DIV/0!</v>
      </c>
      <c r="L37" s="9" t="s">
        <v>19</v>
      </c>
      <c r="M37" s="18" t="e">
        <f>7271000/L36</f>
        <v>#DIV/0!</v>
      </c>
      <c r="N37" s="9" t="s">
        <v>19</v>
      </c>
      <c r="O37" s="18">
        <f>31780000/N36</f>
        <v>133529.41176470587</v>
      </c>
      <c r="P37" s="9" t="s">
        <v>19</v>
      </c>
      <c r="Q37" s="18" t="e">
        <f>64225000/P36</f>
        <v>#DIV/0!</v>
      </c>
      <c r="R37" s="9" t="s">
        <v>19</v>
      </c>
      <c r="S37" s="18" t="e">
        <f>9491000/R36</f>
        <v>#DIV/0!</v>
      </c>
      <c r="T37" s="9" t="s">
        <v>19</v>
      </c>
      <c r="U37" s="18">
        <f>183562000/T36</f>
        <v>132344.62869502523</v>
      </c>
      <c r="V37" s="18" t="s">
        <v>19</v>
      </c>
      <c r="W37" s="18">
        <f>375207000/V36</f>
        <v>85449.100432703257</v>
      </c>
      <c r="X37" s="9" t="s">
        <v>19</v>
      </c>
      <c r="Y37" s="18">
        <f>5423517000/X36</f>
        <v>129774.04766462481</v>
      </c>
    </row>
    <row r="38" spans="2:25">
      <c r="S38" s="21"/>
      <c r="T38" s="21"/>
      <c r="U38" s="21"/>
    </row>
  </sheetData>
  <mergeCells count="30">
    <mergeCell ref="X22:Y22"/>
    <mergeCell ref="B37:C37"/>
    <mergeCell ref="L22:M22"/>
    <mergeCell ref="N22:O22"/>
    <mergeCell ref="P22:Q22"/>
    <mergeCell ref="R22:S22"/>
    <mergeCell ref="T22:U22"/>
    <mergeCell ref="V22:W22"/>
    <mergeCell ref="B22:B23"/>
    <mergeCell ref="C22:C23"/>
    <mergeCell ref="D22:E22"/>
    <mergeCell ref="F22:G22"/>
    <mergeCell ref="H22:I22"/>
    <mergeCell ref="J22:K22"/>
    <mergeCell ref="P5:Q5"/>
    <mergeCell ref="R5:S5"/>
    <mergeCell ref="T5:U5"/>
    <mergeCell ref="V5:W5"/>
    <mergeCell ref="X5:Y5"/>
    <mergeCell ref="B20:C20"/>
    <mergeCell ref="B2:Y2"/>
    <mergeCell ref="B3:Y3"/>
    <mergeCell ref="B5:B6"/>
    <mergeCell ref="C5:C6"/>
    <mergeCell ref="D5:E5"/>
    <mergeCell ref="F5:G5"/>
    <mergeCell ref="H5:I5"/>
    <mergeCell ref="J5:K5"/>
    <mergeCell ref="L5:M5"/>
    <mergeCell ref="N5:O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Musharraf</dc:creator>
  <cp:lastModifiedBy>Musharraf</cp:lastModifiedBy>
  <dcterms:created xsi:type="dcterms:W3CDTF">2026-05-14T16:59:46Z</dcterms:created>
  <dcterms:modified xsi:type="dcterms:W3CDTF">2026-05-14T17:00:22Z</dcterms:modified>
</cp:coreProperties>
</file>